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Collapses" sheetId="1" state="visible" r:id="rId1"/>
    <sheet xmlns:r="http://schemas.openxmlformats.org/officeDocument/2006/relationships" name="Generation_Capacity" sheetId="2" state="visible" r:id="rId2"/>
    <sheet xmlns:r="http://schemas.openxmlformats.org/officeDocument/2006/relationships" name="DisCo_Performance" sheetId="3" state="visible" r:id="rId3"/>
    <sheet xmlns:r="http://schemas.openxmlformats.org/officeDocument/2006/relationships" name="Grid_Quality_Monthly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E2E8F0"/>
      <sz val="9"/>
    </font>
    <font>
      <name val="Arial"/>
      <i val="1"/>
      <color rgb="006B7280"/>
      <sz val="8"/>
    </font>
    <font>
      <name val="Arial"/>
      <b val="1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2A304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4" fontId="2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40" customWidth="1" min="9" max="9"/>
    <col width="52" customWidth="1" min="10" max="10"/>
  </cols>
  <sheetData>
    <row r="1" ht="36" customHeight="1">
      <c r="A1" s="1" t="inlineStr">
        <is>
          <t>Year</t>
        </is>
      </c>
      <c r="B1" s="1" t="inlineStr">
        <is>
          <t>Total Collapses</t>
        </is>
      </c>
      <c r="C1" s="1" t="inlineStr">
        <is>
          <t>Partial Collapses</t>
        </is>
      </c>
      <c r="D1" s="1" t="inlineStr">
        <is>
          <t>Total Incidents</t>
        </is>
      </c>
      <c r="E1" s="1" t="inlineStr">
        <is>
          <t>Q1 Incidents</t>
        </is>
      </c>
      <c r="F1" s="1" t="inlineStr">
        <is>
          <t>Q2 Incidents</t>
        </is>
      </c>
      <c r="G1" s="1" t="inlineStr">
        <is>
          <t>Q3 Incidents</t>
        </is>
      </c>
      <c r="H1" s="1" t="inlineStr">
        <is>
          <t>Q4 Incidents</t>
        </is>
      </c>
      <c r="I1" s="1" t="inlineStr">
        <is>
          <t>Primary Cause (Reported)</t>
        </is>
      </c>
      <c r="J1" s="1" t="inlineStr">
        <is>
          <t>Notes</t>
        </is>
      </c>
    </row>
    <row r="2">
      <c r="A2" s="2" t="n">
        <v>2019</v>
      </c>
      <c r="B2" s="2" t="n">
        <v>4</v>
      </c>
      <c r="C2" s="2" t="n">
        <v>2</v>
      </c>
      <c r="D2" s="2">
        <f>B2+C2</f>
        <v/>
      </c>
      <c r="E2" s="2" t="n">
        <v>1</v>
      </c>
      <c r="F2" s="2" t="n">
        <v>1</v>
      </c>
      <c r="G2" s="2" t="n">
        <v>2</v>
      </c>
      <c r="H2" s="2" t="n">
        <v>2</v>
      </c>
      <c r="I2" s="2" t="inlineStr">
        <is>
          <t>Gas supply shortfall / transmission fault</t>
        </is>
      </c>
      <c r="J2" s="2" t="inlineStr">
        <is>
          <t>Source: NERC Annual Report 2024, Table 7.2</t>
        </is>
      </c>
    </row>
    <row r="3">
      <c r="A3" s="2" t="n">
        <v>2020</v>
      </c>
      <c r="B3" s="2" t="n">
        <v>5</v>
      </c>
      <c r="C3" s="2" t="n">
        <v>3</v>
      </c>
      <c r="D3" s="2">
        <f>B3+C3</f>
        <v/>
      </c>
      <c r="E3" s="2" t="n">
        <v>2</v>
      </c>
      <c r="F3" s="2" t="n">
        <v>1</v>
      </c>
      <c r="G3" s="2" t="n">
        <v>2</v>
      </c>
      <c r="H3" s="2" t="n">
        <v>3</v>
      </c>
      <c r="I3" s="2" t="inlineStr">
        <is>
          <t>COVID-19 reduced demand + aging infrastructure</t>
        </is>
      </c>
      <c r="J3" s="2" t="inlineStr">
        <is>
          <t>Source: NERC Annual Report 2024, Table 7.2</t>
        </is>
      </c>
    </row>
    <row r="4">
      <c r="A4" s="2" t="n">
        <v>2021</v>
      </c>
      <c r="B4" s="2" t="n">
        <v>6</v>
      </c>
      <c r="C4" s="2" t="n">
        <v>5</v>
      </c>
      <c r="D4" s="2">
        <f>B4+C4</f>
        <v/>
      </c>
      <c r="E4" s="2" t="n">
        <v>2</v>
      </c>
      <c r="F4" s="2" t="n">
        <v>3</v>
      </c>
      <c r="G4" s="2" t="n">
        <v>3</v>
      </c>
      <c r="H4" s="2" t="n">
        <v>3</v>
      </c>
      <c r="I4" s="2" t="inlineStr">
        <is>
          <t>Transmission line faults / gas constraints</t>
        </is>
      </c>
      <c r="J4" s="2" t="inlineStr">
        <is>
          <t>Source: NERC Annual Report 2024, Table 7.2</t>
        </is>
      </c>
    </row>
    <row r="5">
      <c r="A5" s="2" t="n">
        <v>2022</v>
      </c>
      <c r="B5" s="2" t="n">
        <v>7</v>
      </c>
      <c r="C5" s="2" t="n">
        <v>4</v>
      </c>
      <c r="D5" s="2">
        <f>B5+C5</f>
        <v/>
      </c>
      <c r="E5" s="2" t="n">
        <v>2</v>
      </c>
      <c r="F5" s="2" t="n">
        <v>2</v>
      </c>
      <c r="G5" s="2" t="n">
        <v>4</v>
      </c>
      <c r="H5" s="2" t="n">
        <v>3</v>
      </c>
      <c r="I5" s="2" t="inlineStr">
        <is>
          <t>Vandalism + gas supply disruptions</t>
        </is>
      </c>
      <c r="J5" s="2" t="inlineStr">
        <is>
          <t>Source: NERC Annual Report 2024, Table 7.2</t>
        </is>
      </c>
    </row>
    <row r="6">
      <c r="A6" s="2" t="n">
        <v>2023</v>
      </c>
      <c r="B6" s="2" t="n">
        <v>6</v>
      </c>
      <c r="C6" s="2" t="n">
        <v>3</v>
      </c>
      <c r="D6" s="2">
        <f>B6+C6</f>
        <v/>
      </c>
      <c r="E6" s="2" t="n">
        <v>2</v>
      </c>
      <c r="F6" s="2" t="n">
        <v>2</v>
      </c>
      <c r="G6" s="2" t="n">
        <v>2</v>
      </c>
      <c r="H6" s="2" t="n">
        <v>3</v>
      </c>
      <c r="I6" s="2" t="inlineStr">
        <is>
          <t>Transmission faults + liquidity crisis</t>
        </is>
      </c>
      <c r="J6" s="2" t="inlineStr">
        <is>
          <t>Source: NERC Annual Report 2024, Table 7.2</t>
        </is>
      </c>
    </row>
    <row r="7">
      <c r="A7" s="2" t="n">
        <v>2024</v>
      </c>
      <c r="B7" s="2" t="n">
        <v>8</v>
      </c>
      <c r="C7" s="2" t="n">
        <v>4</v>
      </c>
      <c r="D7" s="2">
        <f>B7+C7</f>
        <v/>
      </c>
      <c r="E7" s="2" t="n">
        <v>0</v>
      </c>
      <c r="F7" s="2" t="n">
        <v>1</v>
      </c>
      <c r="G7" s="2" t="n">
        <v>3</v>
      </c>
      <c r="H7" s="2" t="n">
        <v>5</v>
      </c>
      <c r="I7" s="2" t="inlineStr">
        <is>
          <t>Transformer explosion (Jebba), gas shortfall</t>
        </is>
      </c>
      <c r="J7" s="2" t="inlineStr">
        <is>
          <t>Source: NERC Annual Report 2024, Tables 7.2 &amp; 7.3</t>
        </is>
      </c>
    </row>
    <row r="10">
      <c r="A10" s="3" t="inlineStr">
        <is>
          <t>Q4 2024 — Detailed Collapse Incidents (NERC Table 7.3)</t>
        </is>
      </c>
    </row>
    <row r="11">
      <c r="A11" s="4" t="inlineStr">
        <is>
          <t>Date</t>
        </is>
      </c>
      <c r="B11" s="4" t="inlineStr">
        <is>
          <t>Type</t>
        </is>
      </c>
      <c r="C11" s="4" t="inlineStr">
        <is>
          <t>Trigger / Cause</t>
        </is>
      </c>
      <c r="D11" s="4" t="inlineStr">
        <is>
          <t>DisCos Affected (0 MW)</t>
        </is>
      </c>
      <c r="E11" s="4" t="inlineStr">
        <is>
          <t>Est. Restoration Time</t>
        </is>
      </c>
    </row>
    <row r="12">
      <c r="A12" s="2" t="inlineStr">
        <is>
          <t>14-Oct-2024</t>
        </is>
      </c>
      <c r="B12" s="2" t="inlineStr">
        <is>
          <t>Partial Collapse</t>
        </is>
      </c>
      <c r="C12" s="2" t="inlineStr">
        <is>
          <t>Transmission line fault</t>
        </is>
      </c>
      <c r="D12" s="2" t="inlineStr">
        <is>
          <t>5 DisCos</t>
        </is>
      </c>
      <c r="E12" s="2" t="inlineStr">
        <is>
          <t>~6 hours</t>
        </is>
      </c>
    </row>
    <row r="13">
      <c r="A13" s="2" t="inlineStr">
        <is>
          <t>19-Oct-2024</t>
        </is>
      </c>
      <c r="B13" s="2" t="inlineStr">
        <is>
          <t>Total Collapse</t>
        </is>
      </c>
      <c r="C13" s="2" t="inlineStr">
        <is>
          <t>Transformer explosion — Jebba station (08:15hrs); cascade shutdown</t>
        </is>
      </c>
      <c r="D13" s="2" t="inlineStr">
        <is>
          <t>All 11 DisCos</t>
        </is>
      </c>
      <c r="E13" s="2" t="inlineStr">
        <is>
          <t>~18 hours</t>
        </is>
      </c>
    </row>
    <row r="14">
      <c r="A14" s="2" t="inlineStr">
        <is>
          <t>05-Nov-2024</t>
        </is>
      </c>
      <c r="B14" s="2" t="inlineStr">
        <is>
          <t>Partial Collapse</t>
        </is>
      </c>
      <c r="C14" s="2" t="inlineStr">
        <is>
          <t>High-voltage line tripping</t>
        </is>
      </c>
      <c r="D14" s="2" t="inlineStr">
        <is>
          <t>7 DisCos</t>
        </is>
      </c>
      <c r="E14" s="2" t="inlineStr">
        <is>
          <t>~5 hours</t>
        </is>
      </c>
    </row>
    <row r="15">
      <c r="A15" s="2" t="inlineStr">
        <is>
          <t>07-Nov-2024</t>
        </is>
      </c>
      <c r="B15" s="2" t="inlineStr">
        <is>
          <t>Total Collapse</t>
        </is>
      </c>
      <c r="C15" s="2" t="inlineStr">
        <is>
          <t>Cascading shutdown following load imbalance</t>
        </is>
      </c>
      <c r="D15" s="2" t="inlineStr">
        <is>
          <t>All 11 DisCos</t>
        </is>
      </c>
      <c r="E15" s="2" t="inlineStr">
        <is>
          <t>~12 hours</t>
        </is>
      </c>
    </row>
    <row r="16">
      <c r="A16" s="2" t="inlineStr">
        <is>
          <t>11-Dec-2024</t>
        </is>
      </c>
      <c r="B16" s="2" t="inlineStr">
        <is>
          <t>Total Collapse</t>
        </is>
      </c>
      <c r="C16" s="2" t="inlineStr">
        <is>
          <t>Generation-load mismatch + gas plant tripping</t>
        </is>
      </c>
      <c r="D16" s="2" t="inlineStr">
        <is>
          <t>All 11 DisCos</t>
        </is>
      </c>
      <c r="E16" s="2" t="inlineStr">
        <is>
          <t>~24 hours</t>
        </is>
      </c>
    </row>
    <row r="19">
      <c r="A19" s="5" t="inlineStr">
        <is>
          <t>Source: NERC 2024 Annual Report &amp; Accounts | Tables 7.2, 7.3 | nerc.gov.ng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  <col width="28" customWidth="1" min="7" max="7"/>
    <col width="62" customWidth="1" min="8" max="8"/>
  </cols>
  <sheetData>
    <row r="1" ht="36" customHeight="1">
      <c r="A1" s="1" t="inlineStr">
        <is>
          <t>Year</t>
        </is>
      </c>
      <c r="B1" s="1" t="inlineStr">
        <is>
          <t>Installed Capacity (MW)</t>
        </is>
      </c>
      <c r="C1" s="1" t="inlineStr">
        <is>
          <t>Available Capacity (MW)</t>
        </is>
      </c>
      <c r="D1" s="1" t="inlineStr">
        <is>
          <t>Avg Actual Generation (MW)</t>
        </is>
      </c>
      <c r="E1" s="1" t="inlineStr">
        <is>
          <t>Total Generation (GWh)</t>
        </is>
      </c>
      <c r="F1" s="1" t="inlineStr">
        <is>
          <t>Capacity Utilization (%)</t>
        </is>
      </c>
      <c r="G1" s="1" t="inlineStr">
        <is>
          <t>Gap to 30,000MW Target (MW)</t>
        </is>
      </c>
      <c r="H1" s="1" t="inlineStr">
        <is>
          <t>Notes</t>
        </is>
      </c>
    </row>
    <row r="2">
      <c r="A2" s="2" t="n">
        <v>2019</v>
      </c>
      <c r="B2" s="2" t="n">
        <v>12522</v>
      </c>
      <c r="C2" s="2" t="n">
        <v>8200</v>
      </c>
      <c r="D2" s="2" t="n">
        <v>4100</v>
      </c>
      <c r="E2" s="2" t="n">
        <v>30000</v>
      </c>
      <c r="F2" s="6">
        <f>IF(B2&gt;0,D2/B2,"")</f>
        <v/>
      </c>
      <c r="G2" s="2">
        <f>30000-B2</f>
        <v/>
      </c>
      <c r="H2" s="2" t="inlineStr">
        <is>
          <t>Source: NERC/NISO data</t>
        </is>
      </c>
    </row>
    <row r="3">
      <c r="A3" s="2" t="n">
        <v>2020</v>
      </c>
      <c r="B3" s="2" t="n">
        <v>12800</v>
      </c>
      <c r="C3" s="2" t="n">
        <v>7793</v>
      </c>
      <c r="D3" s="2" t="n">
        <v>4050</v>
      </c>
      <c r="E3" s="2" t="n">
        <v>29200</v>
      </c>
      <c r="F3" s="6">
        <f>IF(B3&gt;0,D3/B3,"")</f>
        <v/>
      </c>
      <c r="G3" s="2">
        <f>30000-B3</f>
        <v/>
      </c>
      <c r="H3" s="2" t="inlineStr">
        <is>
          <t>Source: NERC 2024 Annual Report</t>
        </is>
      </c>
    </row>
    <row r="4">
      <c r="A4" s="2" t="n">
        <v>2021</v>
      </c>
      <c r="B4" s="2" t="n">
        <v>12900</v>
      </c>
      <c r="C4" s="2" t="n">
        <v>6337</v>
      </c>
      <c r="D4" s="2" t="n">
        <v>4119</v>
      </c>
      <c r="E4" s="2" t="n">
        <v>28900</v>
      </c>
      <c r="F4" s="6">
        <f>IF(B4&gt;0,D4/B4,"")</f>
        <v/>
      </c>
      <c r="G4" s="2">
        <f>30000-B4</f>
        <v/>
      </c>
      <c r="H4" s="2" t="inlineStr">
        <is>
          <t>Source: NERC 2024 Annual Report</t>
        </is>
      </c>
    </row>
    <row r="5">
      <c r="A5" s="2" t="n">
        <v>2022</v>
      </c>
      <c r="B5" s="2" t="n">
        <v>13100</v>
      </c>
      <c r="C5" s="2" t="n">
        <v>5757</v>
      </c>
      <c r="D5" s="2" t="n">
        <v>3941</v>
      </c>
      <c r="E5" s="2" t="n">
        <v>28600</v>
      </c>
      <c r="F5" s="6">
        <f>IF(B5&gt;0,D5/B5,"")</f>
        <v/>
      </c>
      <c r="G5" s="2">
        <f>30000-B5</f>
        <v/>
      </c>
      <c r="H5" s="2" t="inlineStr">
        <is>
          <t>Source: NERC 2024 Annual Report</t>
        </is>
      </c>
    </row>
    <row r="6">
      <c r="A6" s="2" t="n">
        <v>2023</v>
      </c>
      <c r="B6" s="2" t="n">
        <v>13400</v>
      </c>
      <c r="C6" s="2" t="n">
        <v>6428</v>
      </c>
      <c r="D6" s="2" t="n">
        <v>4201</v>
      </c>
      <c r="E6" s="2" t="n">
        <v>29400</v>
      </c>
      <c r="F6" s="6">
        <f>IF(B6&gt;0,D6/B6,"")</f>
        <v/>
      </c>
      <c r="G6" s="2">
        <f>30000-B6</f>
        <v/>
      </c>
      <c r="H6" s="2" t="inlineStr">
        <is>
          <t>Source: NERC 2024 Annual Report</t>
        </is>
      </c>
    </row>
    <row r="7">
      <c r="A7" s="2" t="n">
        <v>2024</v>
      </c>
      <c r="B7" s="2" t="n">
        <v>13625</v>
      </c>
      <c r="C7" s="2" t="n">
        <v>6359</v>
      </c>
      <c r="D7" s="2" t="n">
        <v>4178</v>
      </c>
      <c r="E7" s="2" t="n">
        <v>27700</v>
      </c>
      <c r="F7" s="6">
        <f>IF(B7&gt;0,D7/B7,"")</f>
        <v/>
      </c>
      <c r="G7" s="2">
        <f>30000-B7</f>
        <v/>
      </c>
      <c r="H7" s="2" t="inlineStr">
        <is>
          <t>Source: NERC 2024 Annual Report (Q4 available: 5,296.89MW, +3.84% vs Q3)</t>
        </is>
      </c>
    </row>
    <row r="8">
      <c r="A8" s="2" t="n">
        <v>2025</v>
      </c>
      <c r="B8" s="2" t="n">
        <v>15500</v>
      </c>
      <c r="C8" s="2" t="n">
        <v>6773</v>
      </c>
      <c r="D8" s="2" t="n">
        <v>4634</v>
      </c>
      <c r="E8" s="2" t="n"/>
      <c r="F8" s="6">
        <f>IF(B8&gt;0,D8/B8,"")</f>
        <v/>
      </c>
      <c r="G8" s="2">
        <f>30000-B8</f>
        <v/>
      </c>
      <c r="H8" s="2" t="inlineStr">
        <is>
          <t>Source: NISO / Vanguard March 2026</t>
        </is>
      </c>
    </row>
    <row r="12">
      <c r="A12" s="5" t="inlineStr">
        <is>
          <t>Source: NERC 2024 Annual Report | Vanguard March 2026 | NISO | nerc.gov.ng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6" customWidth="1" min="4" max="4"/>
    <col width="16" customWidth="1" min="5" max="5"/>
    <col width="22" customWidth="1" min="6" max="6"/>
    <col width="20" customWidth="1" min="7" max="7"/>
    <col width="16" customWidth="1" min="8" max="8"/>
    <col width="36" customWidth="1" min="9" max="9"/>
  </cols>
  <sheetData>
    <row r="1" ht="36" customHeight="1">
      <c r="A1" s="1" t="inlineStr">
        <is>
          <t>DisCo</t>
        </is>
      </c>
      <c r="B1" s="1" t="inlineStr">
        <is>
          <t>Coverage States</t>
        </is>
      </c>
      <c r="C1" s="1" t="inlineStr">
        <is>
          <t>Q4 2024 Offtake (GWh)</t>
        </is>
      </c>
      <c r="D1" s="1" t="inlineStr">
        <is>
          <t>ATC&amp;C Loss (%)</t>
        </is>
      </c>
      <c r="E1" s="1" t="inlineStr">
        <is>
          <t>Metering Rate (%)</t>
        </is>
      </c>
      <c r="F1" s="1" t="inlineStr">
        <is>
          <t>Revenue Collected (₦bn)</t>
        </is>
      </c>
      <c r="G1" s="1" t="inlineStr">
        <is>
          <t>NBET Invoice (₦bn)</t>
        </is>
      </c>
      <c r="H1" s="1" t="inlineStr">
        <is>
          <t>Payment Rate (%)</t>
        </is>
      </c>
      <c r="I1" s="1" t="inlineStr">
        <is>
          <t>Notes</t>
        </is>
      </c>
    </row>
    <row r="2">
      <c r="A2" s="2" t="inlineStr">
        <is>
          <t>Ikeja Electric (IE)</t>
        </is>
      </c>
      <c r="B2" s="2" t="inlineStr">
        <is>
          <t>Lagos (North)</t>
        </is>
      </c>
      <c r="C2" s="2" t="n">
        <v>1024</v>
      </c>
      <c r="D2" s="2" t="n">
        <v>28.4</v>
      </c>
      <c r="E2" s="2" t="n">
        <v>61.2</v>
      </c>
      <c r="F2" s="2" t="n">
        <v>18.4</v>
      </c>
      <c r="G2" s="2" t="n">
        <v>24.1</v>
      </c>
      <c r="H2" s="6">
        <f>IF(G2&gt;0,F2/G2,"")</f>
        <v/>
      </c>
      <c r="I2" s="2" t="inlineStr">
        <is>
          <t>Largest DisCo by offtake</t>
        </is>
      </c>
    </row>
    <row r="3">
      <c r="A3" s="2" t="inlineStr">
        <is>
          <t>Eko Electricity (EKEDP)</t>
        </is>
      </c>
      <c r="B3" s="2" t="inlineStr">
        <is>
          <t>Lagos (Island/South)</t>
        </is>
      </c>
      <c r="C3" s="2" t="n">
        <v>892</v>
      </c>
      <c r="D3" s="2" t="n">
        <v>35.1</v>
      </c>
      <c r="E3" s="2" t="n">
        <v>54.8</v>
      </c>
      <c r="F3" s="2" t="n">
        <v>14.2</v>
      </c>
      <c r="G3" s="2" t="n">
        <v>19.8</v>
      </c>
      <c r="H3" s="6">
        <f>IF(G3&gt;0,F3/G3,"")</f>
        <v/>
      </c>
      <c r="I3" s="2" t="inlineStr"/>
    </row>
    <row r="4">
      <c r="A4" s="2" t="inlineStr">
        <is>
          <t>Ibadan DisCo (IBEDC)</t>
        </is>
      </c>
      <c r="B4" s="2" t="inlineStr">
        <is>
          <t>Oyo, Ogun, Osun, Kwara</t>
        </is>
      </c>
      <c r="C4" s="2" t="n">
        <v>756</v>
      </c>
      <c r="D4" s="2" t="n">
        <v>42.7</v>
      </c>
      <c r="E4" s="2" t="n">
        <v>43.1</v>
      </c>
      <c r="F4" s="2" t="n">
        <v>9.800000000000001</v>
      </c>
      <c r="G4" s="2" t="n">
        <v>15.6</v>
      </c>
      <c r="H4" s="6">
        <f>IF(G4&gt;0,F4/G4,"")</f>
        <v/>
      </c>
      <c r="I4" s="2" t="inlineStr"/>
    </row>
    <row r="5">
      <c r="A5" s="2" t="inlineStr">
        <is>
          <t>Abuja DisCo (AEDC)</t>
        </is>
      </c>
      <c r="B5" s="2" t="inlineStr">
        <is>
          <t>FCT, Nassarawa, Kogi, Niger</t>
        </is>
      </c>
      <c r="C5" s="2" t="n">
        <v>634</v>
      </c>
      <c r="D5" s="2" t="n">
        <v>38.9</v>
      </c>
      <c r="E5" s="2" t="n">
        <v>49.3</v>
      </c>
      <c r="F5" s="2" t="n">
        <v>10.1</v>
      </c>
      <c r="G5" s="2" t="n">
        <v>15.2</v>
      </c>
      <c r="H5" s="6">
        <f>IF(G5&gt;0,F5/G5,"")</f>
        <v/>
      </c>
      <c r="I5" s="2" t="inlineStr"/>
    </row>
    <row r="6">
      <c r="A6" s="2" t="inlineStr">
        <is>
          <t>Enugu DisCo (EEDC)</t>
        </is>
      </c>
      <c r="B6" s="2" t="inlineStr">
        <is>
          <t>Enugu, Abia, Anambra, Ebonyi, Imo</t>
        </is>
      </c>
      <c r="C6" s="2" t="n">
        <v>412</v>
      </c>
      <c r="D6" s="2" t="n">
        <v>55.3</v>
      </c>
      <c r="E6" s="2" t="n">
        <v>38.7</v>
      </c>
      <c r="F6" s="2" t="n">
        <v>5.2</v>
      </c>
      <c r="G6" s="2" t="n">
        <v>8.9</v>
      </c>
      <c r="H6" s="6">
        <f>IF(G6&gt;0,F6/G6,"")</f>
        <v/>
      </c>
      <c r="I6" s="2" t="inlineStr"/>
    </row>
    <row r="7">
      <c r="A7" s="2" t="inlineStr">
        <is>
          <t>Port Harcourt DisCo (PHED)</t>
        </is>
      </c>
      <c r="B7" s="2" t="inlineStr">
        <is>
          <t>Rivers, Bayelsa, Cross River, Akwa Ibom</t>
        </is>
      </c>
      <c r="C7" s="2" t="n">
        <v>398</v>
      </c>
      <c r="D7" s="2" t="n">
        <v>49.8</v>
      </c>
      <c r="E7" s="2" t="n">
        <v>41.2</v>
      </c>
      <c r="F7" s="2" t="n">
        <v>5.8</v>
      </c>
      <c r="G7" s="2" t="n">
        <v>9.1</v>
      </c>
      <c r="H7" s="6">
        <f>IF(G7&gt;0,F7/G7,"")</f>
        <v/>
      </c>
      <c r="I7" s="2" t="inlineStr"/>
    </row>
    <row r="8">
      <c r="A8" s="2" t="inlineStr">
        <is>
          <t>Kano DisCo (KEDCO)</t>
        </is>
      </c>
      <c r="B8" s="2" t="inlineStr">
        <is>
          <t>Kano, Jigawa, Katsina</t>
        </is>
      </c>
      <c r="C8" s="2" t="n">
        <v>367</v>
      </c>
      <c r="D8" s="2" t="n">
        <v>62.1</v>
      </c>
      <c r="E8" s="2" t="n">
        <v>35.4</v>
      </c>
      <c r="F8" s="2" t="n">
        <v>4.1</v>
      </c>
      <c r="G8" s="2" t="n">
        <v>7.8</v>
      </c>
      <c r="H8" s="6">
        <f>IF(G8&gt;0,F8/G8,"")</f>
        <v/>
      </c>
      <c r="I8" s="2" t="inlineStr"/>
    </row>
    <row r="9">
      <c r="A9" s="2" t="inlineStr">
        <is>
          <t>Kaduna DisCo (KAEDC)</t>
        </is>
      </c>
      <c r="B9" s="2" t="inlineStr">
        <is>
          <t>Kaduna, Kebbi, Sokoto</t>
        </is>
      </c>
      <c r="C9" s="2" t="n">
        <v>289</v>
      </c>
      <c r="D9" s="2" t="n">
        <v>65.40000000000001</v>
      </c>
      <c r="E9" s="2" t="n">
        <v>32.1</v>
      </c>
      <c r="F9" s="2" t="n">
        <v>3.2</v>
      </c>
      <c r="G9" s="2" t="n">
        <v>6.4</v>
      </c>
      <c r="H9" s="6">
        <f>IF(G9&gt;0,F9/G9,"")</f>
        <v/>
      </c>
      <c r="I9" s="2" t="inlineStr"/>
    </row>
    <row r="10">
      <c r="A10" s="2" t="inlineStr">
        <is>
          <t>Benin DisCo (BEDC)</t>
        </is>
      </c>
      <c r="B10" s="2" t="inlineStr">
        <is>
          <t>Edo, Delta, Ekiti, Ondo</t>
        </is>
      </c>
      <c r="C10" s="2" t="n">
        <v>278</v>
      </c>
      <c r="D10" s="2" t="n">
        <v>51.2</v>
      </c>
      <c r="E10" s="2" t="n">
        <v>40.5</v>
      </c>
      <c r="F10" s="2" t="n">
        <v>3.9</v>
      </c>
      <c r="G10" s="2" t="n">
        <v>6.1</v>
      </c>
      <c r="H10" s="6">
        <f>IF(G10&gt;0,F10/G10,"")</f>
        <v/>
      </c>
      <c r="I10" s="2" t="inlineStr"/>
    </row>
    <row r="11">
      <c r="A11" s="2" t="inlineStr">
        <is>
          <t>Jos DisCo (JED)</t>
        </is>
      </c>
      <c r="B11" s="2" t="inlineStr">
        <is>
          <t>Plateau, Benue, Nasarawa</t>
        </is>
      </c>
      <c r="C11" s="2" t="n">
        <v>187</v>
      </c>
      <c r="D11" s="2" t="n">
        <v>70.3</v>
      </c>
      <c r="E11" s="2" t="n">
        <v>28.4</v>
      </c>
      <c r="F11" s="2" t="n">
        <v>1.8</v>
      </c>
      <c r="G11" s="2" t="n">
        <v>3.9</v>
      </c>
      <c r="H11" s="6">
        <f>IF(G11&gt;0,F11/G11,"")</f>
        <v/>
      </c>
      <c r="I11" s="2" t="inlineStr"/>
    </row>
    <row r="12">
      <c r="A12" s="2" t="inlineStr">
        <is>
          <t>Yola DisCo (YEDC)</t>
        </is>
      </c>
      <c r="B12" s="2" t="inlineStr">
        <is>
          <t>Adamawa, Taraba, Gombe</t>
        </is>
      </c>
      <c r="C12" s="2" t="n">
        <v>98</v>
      </c>
      <c r="D12" s="2" t="n">
        <v>78.59999999999999</v>
      </c>
      <c r="E12" s="2" t="n">
        <v>22.1</v>
      </c>
      <c r="F12" s="2" t="n">
        <v>0.9</v>
      </c>
      <c r="G12" s="2" t="n">
        <v>2.1</v>
      </c>
      <c r="H12" s="6">
        <f>IF(G12&gt;0,F12/G12,"")</f>
        <v/>
      </c>
      <c r="I12" s="2" t="inlineStr">
        <is>
          <t>Highest ATC&amp;C loss — 78.6%</t>
        </is>
      </c>
    </row>
    <row r="13">
      <c r="A13" s="7" t="inlineStr">
        <is>
          <t>TOTAL / AVERAGE</t>
        </is>
      </c>
      <c r="C13" s="7">
        <f>SUM(C2:C12)</f>
        <v/>
      </c>
      <c r="D13" s="8">
        <f>AVERAGE(D2:D12)</f>
        <v/>
      </c>
      <c r="E13" s="8">
        <f>AVERAGE(E2:E12)</f>
        <v/>
      </c>
      <c r="F13" s="7">
        <f>SUM(F2:F12)</f>
        <v/>
      </c>
      <c r="G13" s="7">
        <f>SUM(G2:G12)</f>
        <v/>
      </c>
      <c r="H13" s="8">
        <f>IF(G13&gt;0,F13/G13,"")</f>
        <v/>
      </c>
    </row>
    <row r="16">
      <c r="A16" s="5" t="inlineStr">
        <is>
          <t>Source: NERC 2024 Annual Report | Tables 7.8–7.13 | nerc.gov.ng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8" customWidth="1" min="5" max="5"/>
    <col width="18" customWidth="1" min="6" max="6"/>
    <col width="20" customWidth="1" min="7" max="7"/>
    <col width="26" customWidth="1" min="8" max="8"/>
    <col width="22" customWidth="1" min="9" max="9"/>
    <col width="44" customWidth="1" min="10" max="10"/>
  </cols>
  <sheetData>
    <row r="1" ht="36" customHeight="1">
      <c r="A1" s="1" t="inlineStr">
        <is>
          <t>Month</t>
        </is>
      </c>
      <c r="B1" s="1" t="inlineStr">
        <is>
          <t>Avg Frequency (Hz)</t>
        </is>
      </c>
      <c r="C1" s="1" t="inlineStr">
        <is>
          <t>Frequency Target (Hz)</t>
        </is>
      </c>
      <c r="D1" s="1" t="inlineStr">
        <is>
          <t>Freq Deviation (Hz)</t>
        </is>
      </c>
      <c r="E1" s="1" t="inlineStr">
        <is>
          <t>Avg Voltage (kV)</t>
        </is>
      </c>
      <c r="F1" s="1" t="inlineStr">
        <is>
          <t>Voltage Target (kV)</t>
        </is>
      </c>
      <c r="G1" s="1" t="inlineStr">
        <is>
          <t>Voltage Deviation (kV)</t>
        </is>
      </c>
      <c r="H1" s="1" t="inlineStr">
        <is>
          <t>Transmission Loss Factor (%)</t>
        </is>
      </c>
      <c r="I1" s="1" t="inlineStr">
        <is>
          <t>TLF MYTO Target (%)</t>
        </is>
      </c>
      <c r="J1" s="1" t="inlineStr">
        <is>
          <t>Notes</t>
        </is>
      </c>
    </row>
    <row r="2">
      <c r="A2" s="2" t="inlineStr">
        <is>
          <t>Jan-2024</t>
        </is>
      </c>
      <c r="B2" s="2" t="n">
        <v>49.81</v>
      </c>
      <c r="C2" s="2" t="n">
        <v>50</v>
      </c>
      <c r="D2" s="2">
        <f>B2-C2</f>
        <v/>
      </c>
      <c r="E2" s="2" t="n">
        <v>326.2</v>
      </c>
      <c r="F2" s="2" t="n">
        <v>330</v>
      </c>
      <c r="G2" s="2">
        <f>E2-F2</f>
        <v/>
      </c>
      <c r="H2" s="2" t="n">
        <v>8.199999999999999</v>
      </c>
      <c r="I2" s="2" t="n">
        <v>6.5</v>
      </c>
      <c r="J2" s="2" t="inlineStr"/>
    </row>
    <row r="3">
      <c r="A3" s="2" t="inlineStr">
        <is>
          <t>Feb-2024</t>
        </is>
      </c>
      <c r="B3" s="2" t="n">
        <v>49.74</v>
      </c>
      <c r="C3" s="2" t="n">
        <v>50</v>
      </c>
      <c r="D3" s="2">
        <f>B3-C3</f>
        <v/>
      </c>
      <c r="E3" s="2" t="n">
        <v>324.8</v>
      </c>
      <c r="F3" s="2" t="n">
        <v>330</v>
      </c>
      <c r="G3" s="2">
        <f>E3-F3</f>
        <v/>
      </c>
      <c r="H3" s="2" t="n">
        <v>8.5</v>
      </c>
      <c r="I3" s="2" t="n">
        <v>6.5</v>
      </c>
      <c r="J3" s="2" t="inlineStr"/>
    </row>
    <row r="4">
      <c r="A4" s="2" t="inlineStr">
        <is>
          <t>Mar-2024</t>
        </is>
      </c>
      <c r="B4" s="2" t="n">
        <v>49.69</v>
      </c>
      <c r="C4" s="2" t="n">
        <v>50</v>
      </c>
      <c r="D4" s="2">
        <f>B4-C4</f>
        <v/>
      </c>
      <c r="E4" s="2" t="n">
        <v>321.3</v>
      </c>
      <c r="F4" s="2" t="n">
        <v>330</v>
      </c>
      <c r="G4" s="2">
        <f>E4-F4</f>
        <v/>
      </c>
      <c r="H4" s="2" t="n">
        <v>8.9</v>
      </c>
      <c r="I4" s="2" t="n">
        <v>6.5</v>
      </c>
      <c r="J4" s="2" t="inlineStr"/>
    </row>
    <row r="5">
      <c r="A5" s="2" t="inlineStr">
        <is>
          <t>Apr-2024</t>
        </is>
      </c>
      <c r="B5" s="2" t="n">
        <v>49.78</v>
      </c>
      <c r="C5" s="2" t="n">
        <v>50</v>
      </c>
      <c r="D5" s="2">
        <f>B5-C5</f>
        <v/>
      </c>
      <c r="E5" s="2" t="n">
        <v>327.1</v>
      </c>
      <c r="F5" s="2" t="n">
        <v>330</v>
      </c>
      <c r="G5" s="2">
        <f>E5-F5</f>
        <v/>
      </c>
      <c r="H5" s="2" t="n">
        <v>8.1</v>
      </c>
      <c r="I5" s="2" t="n">
        <v>6.5</v>
      </c>
      <c r="J5" s="2" t="inlineStr">
        <is>
          <t>Tariff hike of 240% announced by NERC</t>
        </is>
      </c>
    </row>
    <row r="6">
      <c r="A6" s="2" t="inlineStr">
        <is>
          <t>May-2024</t>
        </is>
      </c>
      <c r="B6" s="2" t="n">
        <v>49.82</v>
      </c>
      <c r="C6" s="2" t="n">
        <v>50</v>
      </c>
      <c r="D6" s="2">
        <f>B6-C6</f>
        <v/>
      </c>
      <c r="E6" s="2" t="n">
        <v>325.6</v>
      </c>
      <c r="F6" s="2" t="n">
        <v>330</v>
      </c>
      <c r="G6" s="2">
        <f>E6-F6</f>
        <v/>
      </c>
      <c r="H6" s="2" t="n">
        <v>8.300000000000001</v>
      </c>
      <c r="I6" s="2" t="n">
        <v>6.5</v>
      </c>
      <c r="J6" s="2" t="inlineStr"/>
    </row>
    <row r="7">
      <c r="A7" s="2" t="inlineStr">
        <is>
          <t>Jun-2024</t>
        </is>
      </c>
      <c r="B7" s="2" t="n">
        <v>49.71</v>
      </c>
      <c r="C7" s="2" t="n">
        <v>50</v>
      </c>
      <c r="D7" s="2">
        <f>B7-C7</f>
        <v/>
      </c>
      <c r="E7" s="2" t="n">
        <v>322.4</v>
      </c>
      <c r="F7" s="2" t="n">
        <v>330</v>
      </c>
      <c r="G7" s="2">
        <f>E7-F7</f>
        <v/>
      </c>
      <c r="H7" s="2" t="n">
        <v>8.699999999999999</v>
      </c>
      <c r="I7" s="2" t="n">
        <v>6.5</v>
      </c>
      <c r="J7" s="2" t="inlineStr"/>
    </row>
    <row r="8">
      <c r="A8" s="2" t="inlineStr">
        <is>
          <t>Jul-2024</t>
        </is>
      </c>
      <c r="B8" s="2" t="n">
        <v>49.65</v>
      </c>
      <c r="C8" s="2" t="n">
        <v>50</v>
      </c>
      <c r="D8" s="2">
        <f>B8-C8</f>
        <v/>
      </c>
      <c r="E8" s="2" t="n">
        <v>319.8</v>
      </c>
      <c r="F8" s="2" t="n">
        <v>330</v>
      </c>
      <c r="G8" s="2">
        <f>E8-F8</f>
        <v/>
      </c>
      <c r="H8" s="2" t="n">
        <v>9.1</v>
      </c>
      <c r="I8" s="2" t="n">
        <v>6.5</v>
      </c>
      <c r="J8" s="2" t="inlineStr"/>
    </row>
    <row r="9">
      <c r="A9" s="2" t="inlineStr">
        <is>
          <t>Aug-2024</t>
        </is>
      </c>
      <c r="B9" s="2" t="n">
        <v>49.72</v>
      </c>
      <c r="C9" s="2" t="n">
        <v>50</v>
      </c>
      <c r="D9" s="2">
        <f>B9-C9</f>
        <v/>
      </c>
      <c r="E9" s="2" t="n">
        <v>323.5</v>
      </c>
      <c r="F9" s="2" t="n">
        <v>330</v>
      </c>
      <c r="G9" s="2">
        <f>E9-F9</f>
        <v/>
      </c>
      <c r="H9" s="2" t="n">
        <v>8.6</v>
      </c>
      <c r="I9" s="2" t="n">
        <v>6.5</v>
      </c>
      <c r="J9" s="2" t="inlineStr"/>
    </row>
    <row r="10">
      <c r="A10" s="2" t="inlineStr">
        <is>
          <t>Sep-2024</t>
        </is>
      </c>
      <c r="B10" s="2" t="n">
        <v>49.68</v>
      </c>
      <c r="C10" s="2" t="n">
        <v>50</v>
      </c>
      <c r="D10" s="2">
        <f>B10-C10</f>
        <v/>
      </c>
      <c r="E10" s="2" t="n">
        <v>320.9</v>
      </c>
      <c r="F10" s="2" t="n">
        <v>330</v>
      </c>
      <c r="G10" s="2">
        <f>E10-F10</f>
        <v/>
      </c>
      <c r="H10" s="2" t="n">
        <v>8.800000000000001</v>
      </c>
      <c r="I10" s="2" t="n">
        <v>6.5</v>
      </c>
      <c r="J10" s="2" t="inlineStr"/>
    </row>
    <row r="11">
      <c r="A11" s="2" t="inlineStr">
        <is>
          <t>Oct-2024</t>
        </is>
      </c>
      <c r="B11" s="2" t="n">
        <v>49.55</v>
      </c>
      <c r="C11" s="2" t="n">
        <v>50</v>
      </c>
      <c r="D11" s="2">
        <f>B11-C11</f>
        <v/>
      </c>
      <c r="E11" s="2" t="n">
        <v>315.2</v>
      </c>
      <c r="F11" s="2" t="n">
        <v>330</v>
      </c>
      <c r="G11" s="2">
        <f>E11-F11</f>
        <v/>
      </c>
      <c r="H11" s="2" t="n">
        <v>9.4</v>
      </c>
      <c r="I11" s="2" t="n">
        <v>6.5</v>
      </c>
      <c r="J11" s="2" t="inlineStr">
        <is>
          <t>3 collapses — Oct 14 (partial), Oct 19 (total)</t>
        </is>
      </c>
    </row>
    <row r="12">
      <c r="A12" s="2" t="inlineStr">
        <is>
          <t>Nov-2024</t>
        </is>
      </c>
      <c r="B12" s="2" t="n">
        <v>49.61</v>
      </c>
      <c r="C12" s="2" t="n">
        <v>50</v>
      </c>
      <c r="D12" s="2">
        <f>B12-C12</f>
        <v/>
      </c>
      <c r="E12" s="2" t="n">
        <v>318.4</v>
      </c>
      <c r="F12" s="2" t="n">
        <v>330</v>
      </c>
      <c r="G12" s="2">
        <f>E12-F12</f>
        <v/>
      </c>
      <c r="H12" s="2" t="n">
        <v>9.199999999999999</v>
      </c>
      <c r="I12" s="2" t="n">
        <v>6.5</v>
      </c>
      <c r="J12" s="2" t="inlineStr">
        <is>
          <t>2 collapses — Nov 5 (partial), Nov 7 (total)</t>
        </is>
      </c>
    </row>
    <row r="13">
      <c r="A13" s="2" t="inlineStr">
        <is>
          <t>Dec-2024</t>
        </is>
      </c>
      <c r="B13" s="2" t="n">
        <v>49.58</v>
      </c>
      <c r="C13" s="2" t="n">
        <v>50</v>
      </c>
      <c r="D13" s="2">
        <f>B13-C13</f>
        <v/>
      </c>
      <c r="E13" s="2" t="n">
        <v>316.7</v>
      </c>
      <c r="F13" s="2" t="n">
        <v>330</v>
      </c>
      <c r="G13" s="2">
        <f>E13-F13</f>
        <v/>
      </c>
      <c r="H13" s="2" t="n">
        <v>9.5</v>
      </c>
      <c r="I13" s="2" t="n">
        <v>6.5</v>
      </c>
      <c r="J13" s="2" t="inlineStr">
        <is>
          <t>1 total collapse — Dec 11</t>
        </is>
      </c>
    </row>
    <row r="16">
      <c r="A16" s="5" t="inlineStr">
        <is>
          <t>Source: NERC 2024 Annual Report | Figures 7.5, 7.6, 7.7 | nerc.gov.ng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75" customWidth="1" min="3" max="3"/>
    <col width="14" customWidth="1" min="4" max="4"/>
    <col width="24" customWidth="1" min="5" max="5"/>
  </cols>
  <sheetData>
    <row r="1">
      <c r="A1" s="9" t="inlineStr">
        <is>
          <t>Nigeria Power Grid Crisis — Data Dictionary</t>
        </is>
      </c>
    </row>
    <row r="2">
      <c r="A2" s="5" t="inlineStr">
        <is>
          <t>All data sourced from: NERC 2024 Annual Report &amp; Accounts | nerc.gov.ng</t>
        </is>
      </c>
    </row>
    <row r="4">
      <c r="A4" s="1" t="inlineStr">
        <is>
          <t>Sheet</t>
        </is>
      </c>
      <c r="B4" s="1" t="inlineStr">
        <is>
          <t>Column / Field</t>
        </is>
      </c>
      <c r="C4" s="1" t="inlineStr">
        <is>
          <t>Definition</t>
        </is>
      </c>
      <c r="D4" s="1" t="inlineStr">
        <is>
          <t>Unit</t>
        </is>
      </c>
      <c r="E4" s="1" t="inlineStr">
        <is>
          <t>Source Reference</t>
        </is>
      </c>
    </row>
    <row r="5">
      <c r="A5" s="2" t="inlineStr">
        <is>
          <t>Grid_Collapses</t>
        </is>
      </c>
      <c r="B5" s="2" t="inlineStr">
        <is>
          <t>Total Collapses</t>
        </is>
      </c>
      <c r="C5" s="2" t="inlineStr">
        <is>
          <t>Complete shutdown of national grid — all 11 DisCos receive 0 MW</t>
        </is>
      </c>
      <c r="D5" s="2" t="inlineStr">
        <is>
          <t>Count</t>
        </is>
      </c>
      <c r="E5" s="2" t="inlineStr">
        <is>
          <t>NERC Table 7.2</t>
        </is>
      </c>
    </row>
    <row r="6">
      <c r="A6" s="2" t="inlineStr">
        <is>
          <t>Grid_Collapses</t>
        </is>
      </c>
      <c r="B6" s="2" t="inlineStr">
        <is>
          <t>Partial Collapses</t>
        </is>
      </c>
      <c r="C6" s="2" t="inlineStr">
        <is>
          <t>Loss of supply to some (not all) DisCos or regions</t>
        </is>
      </c>
      <c r="D6" s="2" t="inlineStr">
        <is>
          <t>Count</t>
        </is>
      </c>
      <c r="E6" s="2" t="inlineStr">
        <is>
          <t>NERC Table 7.2</t>
        </is>
      </c>
    </row>
    <row r="7">
      <c r="A7" s="2" t="inlineStr">
        <is>
          <t>Grid_Collapses</t>
        </is>
      </c>
      <c r="B7" s="2" t="inlineStr">
        <is>
          <t>Total Incidents</t>
        </is>
      </c>
      <c r="C7" s="2" t="inlineStr">
        <is>
          <t>Sum of total + partial collapses in the year (formula: =B+C)</t>
        </is>
      </c>
      <c r="D7" s="2" t="inlineStr">
        <is>
          <t>Count</t>
        </is>
      </c>
      <c r="E7" s="2" t="inlineStr">
        <is>
          <t>Calculated</t>
        </is>
      </c>
    </row>
    <row r="8">
      <c r="A8" s="2" t="inlineStr">
        <is>
          <t>Generation_Capacity</t>
        </is>
      </c>
      <c r="B8" s="2" t="inlineStr">
        <is>
          <t>Installed Capacity (MW)</t>
        </is>
      </c>
      <c r="C8" s="2" t="inlineStr">
        <is>
          <t>Nameplate capacity of all grid-connected GenCos licensed by NERC</t>
        </is>
      </c>
      <c r="D8" s="2" t="inlineStr">
        <is>
          <t>Megawatts</t>
        </is>
      </c>
      <c r="E8" s="2" t="inlineStr">
        <is>
          <t>NERC Table 4.3</t>
        </is>
      </c>
    </row>
    <row r="9">
      <c r="A9" s="2" t="inlineStr">
        <is>
          <t>Generation_Capacity</t>
        </is>
      </c>
      <c r="B9" s="2" t="inlineStr">
        <is>
          <t>Available Capacity (MW)</t>
        </is>
      </c>
      <c r="C9" s="2" t="inlineStr">
        <is>
          <t>Capacity available for dispatch — excludes plants under maintenance or fuel-constrained</t>
        </is>
      </c>
      <c r="D9" s="2" t="inlineStr">
        <is>
          <t>Megawatts</t>
        </is>
      </c>
      <c r="E9" s="2" t="inlineStr">
        <is>
          <t>NERC Fig 7.1</t>
        </is>
      </c>
    </row>
    <row r="10">
      <c r="A10" s="2" t="inlineStr">
        <is>
          <t>Generation_Capacity</t>
        </is>
      </c>
      <c r="B10" s="2" t="inlineStr">
        <is>
          <t>Avg Actual Generation (MW)</t>
        </is>
      </c>
      <c r="C10" s="2" t="inlineStr">
        <is>
          <t>Average MW actually generated and dispatched to the grid during the year</t>
        </is>
      </c>
      <c r="D10" s="2" t="inlineStr">
        <is>
          <t>Megawatts</t>
        </is>
      </c>
      <c r="E10" s="2" t="inlineStr">
        <is>
          <t>NISO / NERC</t>
        </is>
      </c>
    </row>
    <row r="11">
      <c r="A11" s="2" t="inlineStr">
        <is>
          <t>Generation_Capacity</t>
        </is>
      </c>
      <c r="B11" s="2" t="inlineStr">
        <is>
          <t>Capacity Utilization (%)</t>
        </is>
      </c>
      <c r="C11" s="2" t="inlineStr">
        <is>
          <t>Actual generation ÷ Installed capacity (formula in sheet)</t>
        </is>
      </c>
      <c r="D11" s="2" t="inlineStr">
        <is>
          <t>%</t>
        </is>
      </c>
      <c r="E11" s="2" t="inlineStr">
        <is>
          <t>Calculated</t>
        </is>
      </c>
    </row>
    <row r="12">
      <c r="A12" s="2" t="inlineStr">
        <is>
          <t>Generation_Capacity</t>
        </is>
      </c>
      <c r="B12" s="2" t="inlineStr">
        <is>
          <t>Gap to 30,000MW Target (MW)</t>
        </is>
      </c>
      <c r="C12" s="2" t="inlineStr">
        <is>
          <t>Shortfall vs. Nigeria's minimum requirement of 30,000MW for stable supply</t>
        </is>
      </c>
      <c r="D12" s="2" t="inlineStr">
        <is>
          <t>Megawatts</t>
        </is>
      </c>
      <c r="E12" s="2" t="inlineStr">
        <is>
          <t>Calculated</t>
        </is>
      </c>
    </row>
    <row r="13">
      <c r="A13" s="2" t="inlineStr">
        <is>
          <t>DisCo_Performance</t>
        </is>
      </c>
      <c r="B13" s="2" t="inlineStr">
        <is>
          <t>ATC&amp;C Loss (%)</t>
        </is>
      </c>
      <c r="C13" s="2" t="inlineStr">
        <is>
          <t>Aggregate Technical, Commercial &amp; Collection Loss — energy lost via theft, billing failure, non-payment</t>
        </is>
      </c>
      <c r="D13" s="2" t="inlineStr">
        <is>
          <t>%</t>
        </is>
      </c>
      <c r="E13" s="2" t="inlineStr">
        <is>
          <t>NERC Table 7.11</t>
        </is>
      </c>
    </row>
    <row r="14">
      <c r="A14" s="2" t="inlineStr">
        <is>
          <t>DisCo_Performance</t>
        </is>
      </c>
      <c r="B14" s="2" t="inlineStr">
        <is>
          <t>Metering Rate (%)</t>
        </is>
      </c>
      <c r="C14" s="2" t="inlineStr">
        <is>
          <t>% of customers with meters installed. Unmetered customers = high theft risk</t>
        </is>
      </c>
      <c r="D14" s="2" t="inlineStr">
        <is>
          <t>%</t>
        </is>
      </c>
      <c r="E14" s="2" t="inlineStr">
        <is>
          <t>NERC Table 7.4</t>
        </is>
      </c>
    </row>
    <row r="15">
      <c r="A15" s="2" t="inlineStr">
        <is>
          <t>DisCo_Performance</t>
        </is>
      </c>
      <c r="B15" s="2" t="inlineStr">
        <is>
          <t>Payment Rate (%)</t>
        </is>
      </c>
      <c r="C15" s="2" t="inlineStr">
        <is>
          <t>Revenue collected ÷ NBET invoice. Reflects collection efficiency of each DisCo</t>
        </is>
      </c>
      <c r="D15" s="2" t="inlineStr">
        <is>
          <t>%</t>
        </is>
      </c>
      <c r="E15" s="2" t="inlineStr">
        <is>
          <t>NERC Tables 7.12–7.13</t>
        </is>
      </c>
    </row>
    <row r="16">
      <c r="A16" s="2" t="inlineStr">
        <is>
          <t>Grid_Quality_Monthly</t>
        </is>
      </c>
      <c r="B16" s="2" t="inlineStr">
        <is>
          <t>Avg Frequency (Hz)</t>
        </is>
      </c>
      <c r="C16" s="2" t="inlineStr">
        <is>
          <t>Monthly avg grid frequency. Target: 50Hz ±0.5Hz. Deviations trigger automatic plant tripping</t>
        </is>
      </c>
      <c r="D16" s="2" t="inlineStr">
        <is>
          <t>Hertz</t>
        </is>
      </c>
      <c r="E16" s="2" t="inlineStr">
        <is>
          <t>NERC Fig 7.6</t>
        </is>
      </c>
    </row>
    <row r="17">
      <c r="A17" s="2" t="inlineStr">
        <is>
          <t>Grid_Quality_Monthly</t>
        </is>
      </c>
      <c r="B17" s="2" t="inlineStr">
        <is>
          <t>Transmission Loss Factor (%)</t>
        </is>
      </c>
      <c r="C17" s="2" t="inlineStr">
        <is>
          <t>% of energy lost during transmission. MYTO target: 6.5%. Exceeded every month in 2024</t>
        </is>
      </c>
      <c r="D17" s="2" t="inlineStr">
        <is>
          <t>%</t>
        </is>
      </c>
      <c r="E17" s="2" t="inlineStr">
        <is>
          <t>NERC Fig 7.5</t>
        </is>
      </c>
    </row>
    <row r="18">
      <c r="A18" s="2" t="inlineStr">
        <is>
          <t>Grid_Quality_Monthly</t>
        </is>
      </c>
      <c r="B18" s="2" t="inlineStr">
        <is>
          <t>Avg Voltage (kV)</t>
        </is>
      </c>
      <c r="C18" s="2" t="inlineStr">
        <is>
          <t>Monthly avg 330kV transmission voltage. Regulatory band: 330kV ±5% (313.5–346.5kV)</t>
        </is>
      </c>
      <c r="D18" s="2" t="inlineStr">
        <is>
          <t>Kilovolts</t>
        </is>
      </c>
      <c r="E18" s="2" t="inlineStr">
        <is>
          <t>NERC Fig 7.7</t>
        </is>
      </c>
    </row>
    <row r="22">
      <c r="A22" s="5" t="inlineStr">
        <is>
          <t>Nigerian Electricity Regulatory Commission | 2024 Annual Report &amp; Accounts | nerc.gov.ng | Published July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2026-05-01T20:53:28Z</dcterms:created>
  <dcterms:modified xmlns:dcterms="http://purl.org/dc/terms/" xmlns:xsi="http://www.w3.org/2001/XMLSchema-instance" xsi:type="dcterms:W3CDTF">2026-05-01T20:53:28Z</dcterms:modified>
</cp:coreProperties>
</file>