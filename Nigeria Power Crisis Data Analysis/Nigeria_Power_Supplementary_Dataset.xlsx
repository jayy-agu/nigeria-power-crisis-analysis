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Cost_Outages" sheetId="1" state="visible" r:id="rId1"/>
    <sheet xmlns:r="http://schemas.openxmlformats.org/officeDocument/2006/relationships" name="Africa_Regional_Comparison" sheetId="2" state="visible" r:id="rId2"/>
    <sheet xmlns:r="http://schemas.openxmlformats.org/officeDocument/2006/relationships" name="Population_Access_Data" sheetId="3" state="visible" r:id="rId3"/>
    <sheet xmlns:r="http://schemas.openxmlformats.org/officeDocument/2006/relationships" name="Generator_Shadow_Economy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x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E2E8F0"/>
      <sz val="9"/>
    </font>
    <font>
      <name val="Arial"/>
      <i val="1"/>
      <color rgb="006B7280"/>
      <sz val="8"/>
    </font>
    <font>
      <name val="Arial"/>
      <b val="1"/>
      <sz val="9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E2330"/>
      </patternFill>
    </fill>
    <fill>
      <patternFill patternType="solid">
        <fgColor rgb="002A304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18" customWidth="1" min="4" max="4"/>
    <col width="22" customWidth="1" min="5" max="5"/>
    <col width="24" customWidth="1" min="6" max="6"/>
    <col width="24" customWidth="1" min="7" max="7"/>
    <col width="26" customWidth="1" min="8" max="8"/>
    <col width="50" customWidth="1" min="9" max="9"/>
  </cols>
  <sheetData>
    <row r="1" ht="40" customHeight="1">
      <c r="A1" s="1" t="inlineStr">
        <is>
          <t>Year</t>
        </is>
      </c>
      <c r="B1" s="1" t="inlineStr">
        <is>
          <t>GDP (USD bn)</t>
        </is>
      </c>
      <c r="C1" s="1" t="inlineStr">
        <is>
          <t>Economic Loss — Grid Outages (USD bn)</t>
        </is>
      </c>
      <c r="D1" s="1" t="inlineStr">
        <is>
          <t>Loss as % of GDP</t>
        </is>
      </c>
      <c r="E1" s="1" t="inlineStr">
        <is>
          <t>Generator Fuel Spend (USD bn)</t>
        </is>
      </c>
      <c r="F1" s="1" t="inlineStr">
        <is>
          <t>Total Energy Crisis Cost (USD bn)</t>
        </is>
      </c>
      <c r="G1" s="1" t="inlineStr">
        <is>
          <t>Firms Reporting Sales Loss (%)</t>
        </is>
      </c>
      <c r="H1" s="1" t="inlineStr">
        <is>
          <t>Avg Annual Outage Hours per Firm</t>
        </is>
      </c>
      <c r="I1" s="1" t="inlineStr">
        <is>
          <t>Notes / Source</t>
        </is>
      </c>
    </row>
    <row r="2">
      <c r="A2" s="2" t="n">
        <v>2019</v>
      </c>
      <c r="B2" s="2" t="n">
        <v>448.1</v>
      </c>
      <c r="C2" s="2" t="n">
        <v>25</v>
      </c>
      <c r="D2" s="3">
        <f>C2/B2</f>
        <v/>
      </c>
      <c r="E2" s="2" t="n">
        <v>14</v>
      </c>
      <c r="F2" s="2">
        <f>C2+E2</f>
        <v/>
      </c>
      <c r="G2" s="2" t="n">
        <v>13</v>
      </c>
      <c r="H2" s="2" t="n">
        <v>2200</v>
      </c>
      <c r="I2" s="2" t="inlineStr">
        <is>
          <t>World Bank; Energy Commission of Nigeria</t>
        </is>
      </c>
    </row>
    <row r="3">
      <c r="A3" s="2" t="n">
        <v>2020</v>
      </c>
      <c r="B3" s="2" t="n">
        <v>432.3</v>
      </c>
      <c r="C3" s="2" t="n">
        <v>24</v>
      </c>
      <c r="D3" s="3">
        <f>C3/B3</f>
        <v/>
      </c>
      <c r="E3" s="2" t="n">
        <v>13.5</v>
      </c>
      <c r="F3" s="2">
        <f>C3+E3</f>
        <v/>
      </c>
      <c r="G3" s="2" t="n">
        <v>13</v>
      </c>
      <c r="H3" s="2" t="n">
        <v>2100</v>
      </c>
      <c r="I3" s="2" t="inlineStr">
        <is>
          <t>World Bank; Standard Bank ATB report</t>
        </is>
      </c>
    </row>
    <row r="4">
      <c r="A4" s="2" t="n">
        <v>2021</v>
      </c>
      <c r="B4" s="2" t="n">
        <v>440.8</v>
      </c>
      <c r="C4" s="2" t="n">
        <v>25.5</v>
      </c>
      <c r="D4" s="3">
        <f>C4/B4</f>
        <v/>
      </c>
      <c r="E4" s="2" t="n">
        <v>14</v>
      </c>
      <c r="F4" s="2">
        <f>C4+E4</f>
        <v/>
      </c>
      <c r="G4" s="2" t="n">
        <v>13</v>
      </c>
      <c r="H4" s="2" t="n">
        <v>2250</v>
      </c>
      <c r="I4" s="2" t="inlineStr">
        <is>
          <t>World Bank; CBN estimate</t>
        </is>
      </c>
    </row>
    <row r="5">
      <c r="A5" s="2" t="n">
        <v>2022</v>
      </c>
      <c r="B5" s="2" t="n">
        <v>477.4</v>
      </c>
      <c r="C5" s="2" t="n">
        <v>26</v>
      </c>
      <c r="D5" s="3">
        <f>C5/B5</f>
        <v/>
      </c>
      <c r="E5" s="2" t="n">
        <v>18</v>
      </c>
      <c r="F5" s="2">
        <f>C5+E5</f>
        <v/>
      </c>
      <c r="G5" s="2" t="n">
        <v>13</v>
      </c>
      <c r="H5" s="2" t="n">
        <v>2300</v>
      </c>
      <c r="I5" s="2" t="inlineStr">
        <is>
          <t>World Bank; Standard Bank ATB report 2024</t>
        </is>
      </c>
    </row>
    <row r="6">
      <c r="A6" s="2" t="n">
        <v>2023</v>
      </c>
      <c r="B6" s="2" t="n">
        <v>506.6</v>
      </c>
      <c r="C6" s="2" t="n">
        <v>26</v>
      </c>
      <c r="D6" s="3">
        <f>C6/B6</f>
        <v/>
      </c>
      <c r="E6" s="2" t="n">
        <v>22</v>
      </c>
      <c r="F6" s="2">
        <f>C6+E6</f>
        <v/>
      </c>
      <c r="G6" s="2" t="n">
        <v>13</v>
      </c>
      <c r="H6" s="2" t="n">
        <v>3000</v>
      </c>
      <c r="I6" s="2" t="inlineStr">
        <is>
          <t>Standard Bank Africa Trade Barometer 2024; 3000+ hrs outage per firm</t>
        </is>
      </c>
    </row>
    <row r="7">
      <c r="A7" s="2" t="n">
        <v>2024</v>
      </c>
      <c r="B7" s="2" t="n">
        <v>362.8</v>
      </c>
      <c r="C7" s="2" t="n">
        <v>26</v>
      </c>
      <c r="D7" s="3">
        <f>C7/B7</f>
        <v/>
      </c>
      <c r="E7" s="2" t="n">
        <v>22</v>
      </c>
      <c r="F7" s="2">
        <f>C7+E7</f>
        <v/>
      </c>
      <c r="G7" s="2" t="n">
        <v>13</v>
      </c>
      <c r="H7" s="2" t="n">
        <v>3000</v>
      </c>
      <c r="I7" s="2" t="inlineStr">
        <is>
          <t>Standard Bank / Bloomberg Nov 2025; GDP drop due to naira devaluation</t>
        </is>
      </c>
    </row>
    <row r="10">
      <c r="A10" s="4" t="inlineStr">
        <is>
          <t>Sector-Level Impact — Nigeria Power Crisis (2023–2024)</t>
        </is>
      </c>
    </row>
    <row r="11">
      <c r="A11" s="5" t="inlineStr">
        <is>
          <t>Sector</t>
        </is>
      </c>
      <c r="B11" s="5" t="inlineStr">
        <is>
          <t>Annual Loss (USD bn)</t>
        </is>
      </c>
      <c r="C11" s="5" t="inlineStr">
        <is>
          <t>Key Impact</t>
        </is>
      </c>
      <c r="D11" s="5" t="inlineStr">
        <is>
          <t>Source</t>
        </is>
      </c>
    </row>
    <row r="12">
      <c r="A12" s="2" t="inlineStr">
        <is>
          <t>SMEs / Informal Economy</t>
        </is>
      </c>
      <c r="B12" s="2" t="n">
        <v>10</v>
      </c>
      <c r="C12" s="2" t="inlineStr">
        <is>
          <t>Lost sales, spoiled goods, shutdown of fridges/machinery</t>
        </is>
      </c>
      <c r="D12" s="2" t="inlineStr">
        <is>
          <t>World Bank Nigeria Power Sector Report 2023</t>
        </is>
      </c>
    </row>
    <row r="13">
      <c r="A13" s="2" t="inlineStr">
        <is>
          <t>Manufacturing / Industry</t>
        </is>
      </c>
      <c r="B13" s="2" t="n">
        <v>6.5</v>
      </c>
      <c r="C13" s="2" t="inlineStr">
        <is>
          <t>Reduced TFP; 1% outage increase = 3.5% TFP loss</t>
        </is>
      </c>
      <c r="D13" s="2" t="inlineStr">
        <is>
          <t>World Bank Africa Firm Survey</t>
        </is>
      </c>
    </row>
    <row r="14">
      <c r="A14" s="2" t="inlineStr">
        <is>
          <t>Telecoms (tower downtime)</t>
        </is>
      </c>
      <c r="B14" s="2" t="n">
        <v>2.1</v>
      </c>
      <c r="C14" s="2" t="inlineStr">
        <is>
          <t>226M subscribers affected; BTS running on diesel 24/7</t>
        </is>
      </c>
      <c r="D14" s="2" t="inlineStr">
        <is>
          <t>NCC / Bloomberg 2025</t>
        </is>
      </c>
    </row>
    <row r="15">
      <c r="A15" s="2" t="inlineStr">
        <is>
          <t>Agriculture / Cold Chain</t>
        </is>
      </c>
      <c r="B15" s="2" t="n">
        <v>1.8</v>
      </c>
      <c r="C15" s="2" t="inlineStr">
        <is>
          <t>Perishable food losses; irrigation pump failure</t>
        </is>
      </c>
      <c r="D15" s="2" t="inlineStr">
        <is>
          <t>FAO Nigeria / BusinessDay</t>
        </is>
      </c>
    </row>
    <row r="16">
      <c r="A16" s="2" t="inlineStr">
        <is>
          <t>Healthcare</t>
        </is>
      </c>
      <c r="B16" s="2" t="n">
        <v>1.2</v>
      </c>
      <c r="C16" s="2" t="inlineStr">
        <is>
          <t>Vaccine spoilage, surgery disruptions, ICU failures</t>
        </is>
      </c>
      <c r="D16" s="2" t="inlineStr">
        <is>
          <t>WHO Nigeria / BusinessDay 2024</t>
        </is>
      </c>
    </row>
    <row r="17">
      <c r="A17" s="2" t="inlineStr">
        <is>
          <t>Financial Services / Fintech</t>
        </is>
      </c>
      <c r="B17" s="2" t="n">
        <v>0.9</v>
      </c>
      <c r="C17" s="2" t="inlineStr">
        <is>
          <t>POS/ATM downtime; payment system failures during collapse</t>
        </is>
      </c>
      <c r="D17" s="2" t="inlineStr">
        <is>
          <t>CBN / Nairametrics</t>
        </is>
      </c>
    </row>
    <row r="18">
      <c r="A18" s="2" t="inlineStr">
        <is>
          <t>Generator Fuel (households)</t>
        </is>
      </c>
      <c r="B18" s="2" t="n">
        <v>12</v>
      </c>
      <c r="C18" s="2" t="inlineStr">
        <is>
          <t>$12bn/yr: 22 million households &amp; small businesses</t>
        </is>
      </c>
      <c r="D18" s="2" t="inlineStr">
        <is>
          <t>Rural Electrification Agency / ESMAP 2024</t>
        </is>
      </c>
    </row>
    <row r="19">
      <c r="A19" s="2" t="inlineStr">
        <is>
          <t>Generator Fuel (corporates)</t>
        </is>
      </c>
      <c r="B19" s="2" t="n">
        <v>10</v>
      </c>
      <c r="C19" s="2" t="inlineStr">
        <is>
          <t>Businesses spend up to 40% of opex on power (CBN)</t>
        </is>
      </c>
      <c r="D19" s="2" t="inlineStr">
        <is>
          <t>CBN; Christensen Institute 2023</t>
        </is>
      </c>
    </row>
    <row r="22">
      <c r="A22" s="6" t="inlineStr">
        <is>
          <t>Sources: World Bank (2023) | Standard Bank Africa Trade Barometer 2024 | Bloomberg Nov 2025 | CBN | ESMAP 2024 | BusinessDay 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2" customWidth="1" min="4" max="4"/>
    <col width="28" customWidth="1" min="5" max="5"/>
    <col width="24" customWidth="1" min="6" max="6"/>
    <col width="28" customWidth="1" min="7" max="7"/>
    <col width="32" customWidth="1" min="8" max="8"/>
    <col width="24" customWidth="1" min="9" max="9"/>
    <col width="30" customWidth="1" min="10" max="10"/>
    <col width="50" customWidth="1" min="11" max="11"/>
  </cols>
  <sheetData>
    <row r="1" ht="50" customHeight="1">
      <c r="A1" s="1" t="inlineStr">
        <is>
          <t>Country</t>
        </is>
      </c>
      <c r="B1" s="1" t="inlineStr">
        <is>
          <t>Population (mn) 2024</t>
        </is>
      </c>
      <c r="C1" s="1" t="inlineStr">
        <is>
          <t>GDP (USD bn) 2024</t>
        </is>
      </c>
      <c r="D1" s="1" t="inlineStr">
        <is>
          <t>Installed Capacity (GW)</t>
        </is>
      </c>
      <c r="E1" s="1" t="inlineStr">
        <is>
          <t>Actual/Available Generation (GW)</t>
        </is>
      </c>
      <c r="F1" s="1" t="inlineStr">
        <is>
          <t>Electricity Access (% pop)</t>
        </is>
      </c>
      <c r="G1" s="1" t="inlineStr">
        <is>
          <t>Per Capita Consumption (kWh/yr)</t>
        </is>
      </c>
      <c r="H1" s="1" t="inlineStr">
        <is>
          <t>Grid Reliability (avg outage hrs/month)</t>
        </is>
      </c>
      <c r="I1" s="1" t="inlineStr">
        <is>
          <t>ATC&amp;C / Distribution Loss (%)</t>
        </is>
      </c>
      <c r="J1" s="1" t="inlineStr">
        <is>
          <t>No. of People Without Power (mn)</t>
        </is>
      </c>
      <c r="K1" s="1" t="inlineStr">
        <is>
          <t>Notes</t>
        </is>
      </c>
    </row>
    <row r="2">
      <c r="A2" s="7" t="inlineStr">
        <is>
          <t>Nigeria</t>
        </is>
      </c>
      <c r="B2" s="7" t="n">
        <v>220</v>
      </c>
      <c r="C2" s="7" t="n">
        <v>362.8</v>
      </c>
      <c r="D2" s="7" t="n">
        <v>13.6</v>
      </c>
      <c r="E2" s="7" t="n">
        <v>5</v>
      </c>
      <c r="F2" s="7" t="n">
        <v>53</v>
      </c>
      <c r="G2" s="7" t="n">
        <v>169</v>
      </c>
      <c r="H2" s="7" t="n">
        <v>250</v>
      </c>
      <c r="I2" s="7" t="n">
        <v>50</v>
      </c>
      <c r="J2" s="7" t="n">
        <v>86.59999999999999</v>
      </c>
      <c r="K2" s="7" t="inlineStr">
        <is>
          <t>NERC 2024; World Bank; GJIA 2024; IEA 2024</t>
        </is>
      </c>
    </row>
    <row r="3">
      <c r="A3" s="2" t="inlineStr">
        <is>
          <t>South Africa</t>
        </is>
      </c>
      <c r="B3" s="2" t="n">
        <v>62</v>
      </c>
      <c r="C3" s="2" t="n">
        <v>373</v>
      </c>
      <c r="D3" s="2" t="n">
        <v>65.90000000000001</v>
      </c>
      <c r="E3" s="2" t="n">
        <v>42</v>
      </c>
      <c r="F3" s="2" t="n">
        <v>84.40000000000001</v>
      </c>
      <c r="G3" s="2" t="n">
        <v>3986</v>
      </c>
      <c r="H3" s="2" t="n">
        <v>12</v>
      </c>
      <c r="I3" s="2" t="n">
        <v>10</v>
      </c>
      <c r="J3" s="2" t="n">
        <v>9.9</v>
      </c>
      <c r="K3" s="2" t="inlineStr">
        <is>
          <t>Eskom 2024; BloombergNEF 2024; IEA</t>
        </is>
      </c>
    </row>
    <row r="4">
      <c r="A4" s="2" t="inlineStr">
        <is>
          <t>Ghana</t>
        </is>
      </c>
      <c r="B4" s="2" t="n">
        <v>34</v>
      </c>
      <c r="C4" s="2" t="n">
        <v>76.40000000000001</v>
      </c>
      <c r="D4" s="2" t="n">
        <v>5.5</v>
      </c>
      <c r="E4" s="2" t="n">
        <v>3.8</v>
      </c>
      <c r="F4" s="2" t="n">
        <v>85.90000000000001</v>
      </c>
      <c r="G4" s="2" t="n">
        <v>380</v>
      </c>
      <c r="H4" s="2" t="n">
        <v>18</v>
      </c>
      <c r="I4" s="2" t="n">
        <v>22</v>
      </c>
      <c r="J4" s="2" t="n">
        <v>4.8</v>
      </c>
      <c r="K4" s="2" t="inlineStr">
        <is>
          <t>Ghana EC 2024; BloombergNEF; Energy Capital Power</t>
        </is>
      </c>
    </row>
    <row r="5">
      <c r="A5" s="2" t="inlineStr">
        <is>
          <t>Kenya</t>
        </is>
      </c>
      <c r="B5" s="2" t="n">
        <v>57</v>
      </c>
      <c r="C5" s="2" t="n">
        <v>118.1</v>
      </c>
      <c r="D5" s="2" t="n">
        <v>3.8</v>
      </c>
      <c r="E5" s="2" t="n">
        <v>2.9</v>
      </c>
      <c r="F5" s="2" t="n">
        <v>71.40000000000001</v>
      </c>
      <c r="G5" s="2" t="n">
        <v>180</v>
      </c>
      <c r="H5" s="2" t="n">
        <v>20</v>
      </c>
      <c r="I5" s="2" t="n">
        <v>18</v>
      </c>
      <c r="J5" s="2" t="n">
        <v>16.5</v>
      </c>
      <c r="K5" s="2" t="inlineStr">
        <is>
          <t>KenGen 2024; BloombergNEF; Energy Capital Power</t>
        </is>
      </c>
    </row>
    <row r="6">
      <c r="A6" s="2" t="inlineStr">
        <is>
          <t>Ethiopia</t>
        </is>
      </c>
      <c r="B6" s="2" t="n">
        <v>128</v>
      </c>
      <c r="C6" s="2" t="n">
        <v>156</v>
      </c>
      <c r="D6" s="2" t="n">
        <v>10.5</v>
      </c>
      <c r="E6" s="2" t="n">
        <v>5.8</v>
      </c>
      <c r="F6" s="2" t="n">
        <v>44</v>
      </c>
      <c r="G6" s="2" t="n">
        <v>90</v>
      </c>
      <c r="H6" s="2" t="n">
        <v>45</v>
      </c>
      <c r="I6" s="2" t="n">
        <v>20</v>
      </c>
      <c r="J6" s="2" t="n">
        <v>71.7</v>
      </c>
      <c r="K6" s="2" t="inlineStr">
        <is>
          <t>Ethiopian Elec. Power 2024; BloombergNEF; IEA</t>
        </is>
      </c>
    </row>
    <row r="7">
      <c r="A7" s="2" t="inlineStr">
        <is>
          <t>Egypt</t>
        </is>
      </c>
      <c r="B7" s="2" t="n">
        <v>107</v>
      </c>
      <c r="C7" s="2" t="n">
        <v>347</v>
      </c>
      <c r="D7" s="2" t="n">
        <v>62</v>
      </c>
      <c r="E7" s="2" t="n">
        <v>35</v>
      </c>
      <c r="F7" s="2" t="n">
        <v>99</v>
      </c>
      <c r="G7" s="2" t="n">
        <v>1810</v>
      </c>
      <c r="H7" s="2" t="n">
        <v>4</v>
      </c>
      <c r="I7" s="2" t="n">
        <v>9</v>
      </c>
      <c r="J7" s="2" t="n">
        <v>1.1</v>
      </c>
      <c r="K7" s="2" t="inlineStr">
        <is>
          <t>EEHC 2024; IEA; Verivafrica 2024</t>
        </is>
      </c>
    </row>
    <row r="8">
      <c r="A8" s="2" t="inlineStr">
        <is>
          <t>Tanzania</t>
        </is>
      </c>
      <c r="B8" s="2" t="n">
        <v>67</v>
      </c>
      <c r="C8" s="2" t="n">
        <v>85</v>
      </c>
      <c r="D8" s="2" t="n">
        <v>1.6</v>
      </c>
      <c r="E8" s="2" t="n">
        <v>0.9</v>
      </c>
      <c r="F8" s="2" t="n">
        <v>38</v>
      </c>
      <c r="G8" s="2" t="n">
        <v>92</v>
      </c>
      <c r="H8" s="2" t="n">
        <v>60</v>
      </c>
      <c r="I8" s="2" t="n">
        <v>25</v>
      </c>
      <c r="J8" s="2" t="n">
        <v>41.5</v>
      </c>
      <c r="K8" s="2" t="inlineStr">
        <is>
          <t>TANESCO 2024; IEA; BloombergNEF</t>
        </is>
      </c>
    </row>
    <row r="9">
      <c r="A9" s="2" t="inlineStr">
        <is>
          <t>Senegal</t>
        </is>
      </c>
      <c r="B9" s="2" t="n">
        <v>18</v>
      </c>
      <c r="C9" s="2" t="n">
        <v>31</v>
      </c>
      <c r="D9" s="2" t="n">
        <v>1.4</v>
      </c>
      <c r="E9" s="2" t="n">
        <v>0.8</v>
      </c>
      <c r="F9" s="2" t="n">
        <v>67</v>
      </c>
      <c r="G9" s="2" t="n">
        <v>250</v>
      </c>
      <c r="H9" s="2" t="n">
        <v>30</v>
      </c>
      <c r="I9" s="2" t="n">
        <v>24</v>
      </c>
      <c r="J9" s="2" t="n">
        <v>5.9</v>
      </c>
      <c r="K9" s="2" t="inlineStr">
        <is>
          <t>SENELEC 2024; IEA</t>
        </is>
      </c>
    </row>
    <row r="10">
      <c r="A10" s="2" t="inlineStr">
        <is>
          <t>Côte d'Ivoire</t>
        </is>
      </c>
      <c r="B10" s="2" t="n">
        <v>28</v>
      </c>
      <c r="C10" s="2" t="n">
        <v>70</v>
      </c>
      <c r="D10" s="2" t="n">
        <v>2.3</v>
      </c>
      <c r="E10" s="2" t="n">
        <v>1.8</v>
      </c>
      <c r="F10" s="2" t="n">
        <v>70</v>
      </c>
      <c r="G10" s="2" t="n">
        <v>280</v>
      </c>
      <c r="H10" s="2" t="n">
        <v>22</v>
      </c>
      <c r="I10" s="2" t="n">
        <v>20</v>
      </c>
      <c r="J10" s="2" t="n">
        <v>8.4</v>
      </c>
      <c r="K10" s="2" t="inlineStr">
        <is>
          <t>CIE 2024; BloombergNEF</t>
        </is>
      </c>
    </row>
    <row r="13">
      <c r="A13" s="6" t="inlineStr">
        <is>
          <t>Sources: NERC 2024 | Eskom 2024 | BloombergNEF Africa Power Factbook 2024 | IEA Africa 2024 | World Bank | Energy Capital Power | Verivafrica 2024</t>
        </is>
      </c>
    </row>
    <row r="15">
      <c r="A15" s="4" t="inlineStr">
        <is>
          <t>Key Benchmarks: Nigeria vs. Peers</t>
        </is>
      </c>
    </row>
    <row r="16">
      <c r="A16" s="5" t="inlineStr">
        <is>
          <t>Metric</t>
        </is>
      </c>
      <c r="B16" s="5" t="inlineStr">
        <is>
          <t>Nigeria</t>
        </is>
      </c>
      <c r="C16" s="5" t="inlineStr">
        <is>
          <t>South Africa</t>
        </is>
      </c>
      <c r="D16" s="5" t="inlineStr">
        <is>
          <t>Ghana</t>
        </is>
      </c>
      <c r="E16" s="5" t="inlineStr">
        <is>
          <t>Kenya</t>
        </is>
      </c>
      <c r="F16" s="5" t="inlineStr">
        <is>
          <t>Global Best Practice</t>
        </is>
      </c>
    </row>
    <row r="17">
      <c r="A17" s="2" t="inlineStr">
        <is>
          <t>Per Capita Consumption (kWh/yr)</t>
        </is>
      </c>
      <c r="B17" s="2" t="n">
        <v>169</v>
      </c>
      <c r="C17" s="2" t="n">
        <v>3986</v>
      </c>
      <c r="D17" s="2" t="n">
        <v>380</v>
      </c>
      <c r="E17" s="2" t="n">
        <v>180</v>
      </c>
      <c r="F17" s="2" t="inlineStr">
        <is>
          <t>10,000+ (US/Europe)</t>
        </is>
      </c>
    </row>
    <row r="18">
      <c r="A18" s="2" t="inlineStr">
        <is>
          <t>Electricity Access Rate (%)</t>
        </is>
      </c>
      <c r="B18" s="2" t="n">
        <v>53</v>
      </c>
      <c r="C18" s="2" t="n">
        <v>84.40000000000001</v>
      </c>
      <c r="D18" s="2" t="n">
        <v>85.90000000000001</v>
      </c>
      <c r="E18" s="2" t="n">
        <v>71.40000000000001</v>
      </c>
      <c r="F18" s="2" t="inlineStr">
        <is>
          <t>99%+ (developed nations)</t>
        </is>
      </c>
    </row>
    <row r="19">
      <c r="A19" s="2" t="inlineStr">
        <is>
          <t>Distribution Loss ATC&amp;C (%)</t>
        </is>
      </c>
      <c r="B19" s="2" t="n">
        <v>50</v>
      </c>
      <c r="C19" s="2" t="n">
        <v>10</v>
      </c>
      <c r="D19" s="2" t="n">
        <v>22</v>
      </c>
      <c r="E19" s="2" t="n">
        <v>18</v>
      </c>
      <c r="F19" s="2" t="inlineStr">
        <is>
          <t>&lt;10% (international standard)</t>
        </is>
      </c>
    </row>
    <row r="20">
      <c r="A20" s="2" t="inlineStr">
        <is>
          <t>Avg Daily Supply Hours</t>
        </is>
      </c>
      <c r="B20" s="2" t="n">
        <v>4</v>
      </c>
      <c r="C20" s="2" t="n">
        <v>18</v>
      </c>
      <c r="D20" s="2" t="n">
        <v>14</v>
      </c>
      <c r="E20" s="2" t="n">
        <v>20</v>
      </c>
      <c r="F20" s="2" t="inlineStr">
        <is>
          <t>24 hours</t>
        </is>
      </c>
    </row>
    <row r="21">
      <c r="A21" s="2" t="inlineStr">
        <is>
          <t>Capacity per 1,000 people (MW)</t>
        </is>
      </c>
      <c r="B21" s="2" t="n">
        <v>0.062</v>
      </c>
      <c r="C21" s="2" t="n">
        <v>1.06</v>
      </c>
      <c r="D21" s="2" t="n">
        <v>0.16</v>
      </c>
      <c r="E21" s="2" t="n">
        <v>0.07000000000000001</v>
      </c>
      <c r="F21" s="2" t="inlineStr">
        <is>
          <t>1.0+ (developed nations)</t>
        </is>
      </c>
    </row>
    <row r="22">
      <c r="A22" s="2" t="inlineStr">
        <is>
          <t>Grid Collapses per Year</t>
        </is>
      </c>
      <c r="B22" s="2" t="n">
        <v>12</v>
      </c>
      <c r="C22" s="2" t="n">
        <v>0</v>
      </c>
      <c r="D22" s="2" t="n">
        <v>1</v>
      </c>
      <c r="E22" s="2" t="n">
        <v>0</v>
      </c>
      <c r="F22" s="2" t="inlineStr">
        <is>
          <t>0 (target)</t>
        </is>
      </c>
    </row>
    <row r="23">
      <c r="A23" s="2" t="inlineStr">
        <is>
          <t>People Without Power (mn)</t>
        </is>
      </c>
      <c r="B23" s="2" t="n">
        <v>86.59999999999999</v>
      </c>
      <c r="C23" s="2" t="n">
        <v>9.9</v>
      </c>
      <c r="D23" s="2" t="n">
        <v>4.8</v>
      </c>
      <c r="E23" s="2" t="n">
        <v>16.5</v>
      </c>
      <c r="F23" s="2" t="inlineStr">
        <is>
          <t>0 (SDG7 target by 2030)</t>
        </is>
      </c>
    </row>
    <row r="26">
      <c r="A26" s="6" t="inlineStr">
        <is>
          <t>Sources: IEA | NERC | Eskom | World Bank | BloombergNEF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8" customWidth="1" min="4" max="4"/>
    <col width="22" customWidth="1" min="5" max="5"/>
    <col width="24" customWidth="1" min="6" max="6"/>
    <col width="20" customWidth="1" min="7" max="7"/>
    <col width="22" customWidth="1" min="8" max="8"/>
    <col width="50" customWidth="1" min="9" max="9"/>
  </cols>
  <sheetData>
    <row r="1" ht="40" customHeight="1">
      <c r="A1" s="1" t="inlineStr">
        <is>
          <t>State / Zone</t>
        </is>
      </c>
      <c r="B1" s="1" t="inlineStr">
        <is>
          <t>Geopolitical Zone</t>
        </is>
      </c>
      <c r="C1" s="1" t="inlineStr">
        <is>
          <t>Population (mn) 2024 est.</t>
        </is>
      </c>
      <c r="D1" s="1" t="inlineStr">
        <is>
          <t>Est. Access Rate (%)</t>
        </is>
      </c>
      <c r="E1" s="1" t="inlineStr">
        <is>
          <t>People Without Power (mn)</t>
        </is>
      </c>
      <c r="F1" s="1" t="inlineStr">
        <is>
          <t>DisCo Serving</t>
        </is>
      </c>
      <c r="G1" s="1" t="inlineStr">
        <is>
          <t>DisCo ATC&amp;C Loss (%)</t>
        </is>
      </c>
      <c r="H1" s="1" t="inlineStr">
        <is>
          <t>Avg Daily Supply (hrs)</t>
        </is>
      </c>
      <c r="I1" s="1" t="inlineStr">
        <is>
          <t>Notes</t>
        </is>
      </c>
    </row>
    <row r="2">
      <c r="A2" s="2" t="inlineStr">
        <is>
          <t>Lagos</t>
        </is>
      </c>
      <c r="B2" s="2" t="inlineStr">
        <is>
          <t>SW</t>
        </is>
      </c>
      <c r="C2" s="2" t="n">
        <v>16</v>
      </c>
      <c r="D2" s="2" t="n">
        <v>72</v>
      </c>
      <c r="E2" s="2">
        <f>C2*(1-D2/100)</f>
        <v/>
      </c>
      <c r="F2" s="2" t="inlineStr">
        <is>
          <t>Ikeja / Eko</t>
        </is>
      </c>
      <c r="G2" s="2" t="n">
        <v>31.8</v>
      </c>
      <c r="H2" s="2" t="n">
        <v>8</v>
      </c>
      <c r="I2" s="2" t="inlineStr">
        <is>
          <t>Two DisCos; highest access in Nigeria</t>
        </is>
      </c>
    </row>
    <row r="3">
      <c r="A3" s="2" t="inlineStr">
        <is>
          <t>Kano</t>
        </is>
      </c>
      <c r="B3" s="2" t="inlineStr">
        <is>
          <t>NW</t>
        </is>
      </c>
      <c r="C3" s="2" t="n">
        <v>15</v>
      </c>
      <c r="D3" s="2" t="n">
        <v>35</v>
      </c>
      <c r="E3" s="2">
        <f>C3*(1-D3/100)</f>
        <v/>
      </c>
      <c r="F3" s="2" t="inlineStr">
        <is>
          <t>Kano DisCo (KEDCO)</t>
        </is>
      </c>
      <c r="G3" s="2" t="n">
        <v>62.1</v>
      </c>
      <c r="H3" s="2" t="n">
        <v>3</v>
      </c>
      <c r="I3" s="2" t="inlineStr">
        <is>
          <t>Severe metering gap; high loss</t>
        </is>
      </c>
    </row>
    <row r="4">
      <c r="A4" s="2" t="inlineStr">
        <is>
          <t>Ogun</t>
        </is>
      </c>
      <c r="B4" s="2" t="inlineStr">
        <is>
          <t>SW</t>
        </is>
      </c>
      <c r="C4" s="2" t="n">
        <v>7.5</v>
      </c>
      <c r="D4" s="2" t="n">
        <v>60</v>
      </c>
      <c r="E4" s="2">
        <f>C4*(1-D4/100)</f>
        <v/>
      </c>
      <c r="F4" s="2" t="inlineStr">
        <is>
          <t>Ibadan DisCo (IBEDC)</t>
        </is>
      </c>
      <c r="G4" s="2" t="n">
        <v>42.7</v>
      </c>
      <c r="H4" s="2" t="n">
        <v>5</v>
      </c>
      <c r="I4" s="2" t="inlineStr"/>
    </row>
    <row r="5">
      <c r="A5" s="2" t="inlineStr">
        <is>
          <t>Kaduna</t>
        </is>
      </c>
      <c r="B5" s="2" t="inlineStr">
        <is>
          <t>NW</t>
        </is>
      </c>
      <c r="C5" s="2" t="n">
        <v>9</v>
      </c>
      <c r="D5" s="2" t="n">
        <v>30</v>
      </c>
      <c r="E5" s="2">
        <f>C5*(1-D5/100)</f>
        <v/>
      </c>
      <c r="F5" s="2" t="inlineStr">
        <is>
          <t>Kaduna DisCo (KAEDC)</t>
        </is>
      </c>
      <c r="G5" s="2" t="n">
        <v>65.40000000000001</v>
      </c>
      <c r="H5" s="2" t="n">
        <v>2.5</v>
      </c>
      <c r="I5" s="2" t="inlineStr"/>
    </row>
    <row r="6">
      <c r="A6" s="2" t="inlineStr">
        <is>
          <t>Rivers</t>
        </is>
      </c>
      <c r="B6" s="2" t="inlineStr">
        <is>
          <t>SS</t>
        </is>
      </c>
      <c r="C6" s="2" t="n">
        <v>8.5</v>
      </c>
      <c r="D6" s="2" t="n">
        <v>55</v>
      </c>
      <c r="E6" s="2">
        <f>C6*(1-D6/100)</f>
        <v/>
      </c>
      <c r="F6" s="2" t="inlineStr">
        <is>
          <t>PHED</t>
        </is>
      </c>
      <c r="G6" s="2" t="n">
        <v>49.8</v>
      </c>
      <c r="H6" s="2" t="n">
        <v>4</v>
      </c>
      <c r="I6" s="2" t="inlineStr">
        <is>
          <t>Oil-producing state; relatively better access</t>
        </is>
      </c>
    </row>
    <row r="7">
      <c r="A7" s="2" t="inlineStr">
        <is>
          <t>Oyo</t>
        </is>
      </c>
      <c r="B7" s="2" t="inlineStr">
        <is>
          <t>SW</t>
        </is>
      </c>
      <c r="C7" s="2" t="n">
        <v>8</v>
      </c>
      <c r="D7" s="2" t="n">
        <v>58</v>
      </c>
      <c r="E7" s="2">
        <f>C7*(1-D7/100)</f>
        <v/>
      </c>
      <c r="F7" s="2" t="inlineStr">
        <is>
          <t>Ibadan DisCo (IBEDC)</t>
        </is>
      </c>
      <c r="G7" s="2" t="n">
        <v>42.7</v>
      </c>
      <c r="H7" s="2" t="n">
        <v>5</v>
      </c>
      <c r="I7" s="2" t="inlineStr"/>
    </row>
    <row r="8">
      <c r="A8" s="2" t="inlineStr">
        <is>
          <t>FCT (Abuja)</t>
        </is>
      </c>
      <c r="B8" s="2" t="inlineStr">
        <is>
          <t>NC</t>
        </is>
      </c>
      <c r="C8" s="2" t="n">
        <v>4</v>
      </c>
      <c r="D8" s="2" t="n">
        <v>70</v>
      </c>
      <c r="E8" s="2">
        <f>C8*(1-D8/100)</f>
        <v/>
      </c>
      <c r="F8" s="2" t="inlineStr">
        <is>
          <t>Abuja DisCo (AEDC)</t>
        </is>
      </c>
      <c r="G8" s="2" t="n">
        <v>38.9</v>
      </c>
      <c r="H8" s="2" t="n">
        <v>6</v>
      </c>
      <c r="I8" s="2" t="inlineStr">
        <is>
          <t>Capital; relatively better supply</t>
        </is>
      </c>
    </row>
    <row r="9">
      <c r="A9" s="2" t="inlineStr">
        <is>
          <t>Anambra</t>
        </is>
      </c>
      <c r="B9" s="2" t="inlineStr">
        <is>
          <t>SE</t>
        </is>
      </c>
      <c r="C9" s="2" t="n">
        <v>7</v>
      </c>
      <c r="D9" s="2" t="n">
        <v>40</v>
      </c>
      <c r="E9" s="2">
        <f>C9*(1-D9/100)</f>
        <v/>
      </c>
      <c r="F9" s="2" t="inlineStr">
        <is>
          <t>Enugu DisCo (EEDC)</t>
        </is>
      </c>
      <c r="G9" s="2" t="n">
        <v>55.3</v>
      </c>
      <c r="H9" s="2" t="n">
        <v>3.5</v>
      </c>
      <c r="I9" s="2" t="inlineStr"/>
    </row>
    <row r="10">
      <c r="A10" s="2" t="inlineStr">
        <is>
          <t>Katsina</t>
        </is>
      </c>
      <c r="B10" s="2" t="inlineStr">
        <is>
          <t>NW</t>
        </is>
      </c>
      <c r="C10" s="2" t="n">
        <v>9</v>
      </c>
      <c r="D10" s="2" t="n">
        <v>25</v>
      </c>
      <c r="E10" s="2">
        <f>C10*(1-D10/100)</f>
        <v/>
      </c>
      <c r="F10" s="2" t="inlineStr">
        <is>
          <t>Kano DisCo (KEDCO)</t>
        </is>
      </c>
      <c r="G10" s="2" t="n">
        <v>62.1</v>
      </c>
      <c r="H10" s="2" t="n">
        <v>2</v>
      </c>
      <c r="I10" s="2" t="inlineStr"/>
    </row>
    <row r="11">
      <c r="A11" s="2" t="inlineStr">
        <is>
          <t>Borno</t>
        </is>
      </c>
      <c r="B11" s="2" t="inlineStr">
        <is>
          <t>NE</t>
        </is>
      </c>
      <c r="C11" s="2" t="n">
        <v>6</v>
      </c>
      <c r="D11" s="2" t="n">
        <v>15</v>
      </c>
      <c r="E11" s="2">
        <f>C11*(1-D11/100)</f>
        <v/>
      </c>
      <c r="F11" s="2" t="inlineStr">
        <is>
          <t>Yola DisCo (YEDC)</t>
        </is>
      </c>
      <c r="G11" s="2" t="n">
        <v>78.59999999999999</v>
      </c>
      <c r="H11" s="2" t="n">
        <v>1.5</v>
      </c>
      <c r="I11" s="2" t="inlineStr">
        <is>
          <t>Conflict-affected; severe energy poverty</t>
        </is>
      </c>
    </row>
    <row r="12">
      <c r="A12" s="2" t="inlineStr">
        <is>
          <t>Sokoto</t>
        </is>
      </c>
      <c r="B12" s="2" t="inlineStr">
        <is>
          <t>NW</t>
        </is>
      </c>
      <c r="C12" s="2" t="n">
        <v>5.5</v>
      </c>
      <c r="D12" s="2" t="n">
        <v>22</v>
      </c>
      <c r="E12" s="2">
        <f>C12*(1-D12/100)</f>
        <v/>
      </c>
      <c r="F12" s="2" t="inlineStr">
        <is>
          <t>Kaduna DisCo (KAEDC)</t>
        </is>
      </c>
      <c r="G12" s="2" t="n">
        <v>65.40000000000001</v>
      </c>
      <c r="H12" s="2" t="n">
        <v>2</v>
      </c>
      <c r="I12" s="2" t="inlineStr"/>
    </row>
    <row r="13">
      <c r="A13" s="2" t="inlineStr">
        <is>
          <t>Adamawa</t>
        </is>
      </c>
      <c r="B13" s="2" t="inlineStr">
        <is>
          <t>NE</t>
        </is>
      </c>
      <c r="C13" s="2" t="n">
        <v>4.5</v>
      </c>
      <c r="D13" s="2" t="n">
        <v>20</v>
      </c>
      <c r="E13" s="2">
        <f>C13*(1-D13/100)</f>
        <v/>
      </c>
      <c r="F13" s="2" t="inlineStr">
        <is>
          <t>Yola DisCo (YEDC)</t>
        </is>
      </c>
      <c r="G13" s="2" t="n">
        <v>78.59999999999999</v>
      </c>
      <c r="H13" s="2" t="n">
        <v>1.5</v>
      </c>
      <c r="I13" s="2" t="inlineStr"/>
    </row>
    <row r="14">
      <c r="A14" s="2" t="inlineStr">
        <is>
          <t>Plateau</t>
        </is>
      </c>
      <c r="B14" s="2" t="inlineStr">
        <is>
          <t>NC</t>
        </is>
      </c>
      <c r="C14" s="2" t="n">
        <v>4.5</v>
      </c>
      <c r="D14" s="2" t="n">
        <v>35</v>
      </c>
      <c r="E14" s="2">
        <f>C14*(1-D14/100)</f>
        <v/>
      </c>
      <c r="F14" s="2" t="inlineStr">
        <is>
          <t>Jos DisCo (JED)</t>
        </is>
      </c>
      <c r="G14" s="2" t="n">
        <v>70.3</v>
      </c>
      <c r="H14" s="2" t="n">
        <v>2.5</v>
      </c>
      <c r="I14" s="2" t="inlineStr"/>
    </row>
    <row r="15">
      <c r="A15" s="2" t="inlineStr">
        <is>
          <t>Edo</t>
        </is>
      </c>
      <c r="B15" s="2" t="inlineStr">
        <is>
          <t>SS</t>
        </is>
      </c>
      <c r="C15" s="2" t="n">
        <v>4.7</v>
      </c>
      <c r="D15" s="2" t="n">
        <v>50</v>
      </c>
      <c r="E15" s="2">
        <f>C15*(1-D15/100)</f>
        <v/>
      </c>
      <c r="F15" s="2" t="inlineStr">
        <is>
          <t>Benin DisCo (BEDC)</t>
        </is>
      </c>
      <c r="G15" s="2" t="n">
        <v>51.2</v>
      </c>
      <c r="H15" s="2" t="n">
        <v>4</v>
      </c>
      <c r="I15" s="2" t="inlineStr"/>
    </row>
    <row r="16">
      <c r="A16" s="2" t="inlineStr">
        <is>
          <t>Cross River</t>
        </is>
      </c>
      <c r="B16" s="2" t="inlineStr">
        <is>
          <t>SS</t>
        </is>
      </c>
      <c r="C16" s="2" t="n">
        <v>4</v>
      </c>
      <c r="D16" s="2" t="n">
        <v>42</v>
      </c>
      <c r="E16" s="2">
        <f>C16*(1-D16/100)</f>
        <v/>
      </c>
      <c r="F16" s="2" t="inlineStr">
        <is>
          <t>PHED</t>
        </is>
      </c>
      <c r="G16" s="2" t="n">
        <v>49.8</v>
      </c>
      <c r="H16" s="2" t="n">
        <v>3.5</v>
      </c>
      <c r="I16" s="2" t="inlineStr"/>
    </row>
    <row r="17">
      <c r="A17" s="2" t="inlineStr">
        <is>
          <t>Enugu</t>
        </is>
      </c>
      <c r="B17" s="2" t="inlineStr">
        <is>
          <t>SE</t>
        </is>
      </c>
      <c r="C17" s="2" t="n">
        <v>4.5</v>
      </c>
      <c r="D17" s="2" t="n">
        <v>45</v>
      </c>
      <c r="E17" s="2">
        <f>C17*(1-D17/100)</f>
        <v/>
      </c>
      <c r="F17" s="2" t="inlineStr">
        <is>
          <t>Enugu DisCo (EEDC)</t>
        </is>
      </c>
      <c r="G17" s="2" t="n">
        <v>55.3</v>
      </c>
      <c r="H17" s="2" t="n">
        <v>3.5</v>
      </c>
      <c r="I17" s="2" t="inlineStr"/>
    </row>
    <row r="18">
      <c r="A18" s="2" t="inlineStr">
        <is>
          <t>Kwara</t>
        </is>
      </c>
      <c r="B18" s="2" t="inlineStr">
        <is>
          <t>NC</t>
        </is>
      </c>
      <c r="C18" s="2" t="n">
        <v>3.5</v>
      </c>
      <c r="D18" s="2" t="n">
        <v>48</v>
      </c>
      <c r="E18" s="2">
        <f>C18*(1-D18/100)</f>
        <v/>
      </c>
      <c r="F18" s="2" t="inlineStr">
        <is>
          <t>Ibadan DisCo (IBEDC)</t>
        </is>
      </c>
      <c r="G18" s="2" t="n">
        <v>42.7</v>
      </c>
      <c r="H18" s="2" t="n">
        <v>4.5</v>
      </c>
      <c r="I18" s="2" t="inlineStr"/>
    </row>
    <row r="19">
      <c r="A19" s="2" t="inlineStr">
        <is>
          <t>Niger</t>
        </is>
      </c>
      <c r="B19" s="2" t="inlineStr">
        <is>
          <t>NC</t>
        </is>
      </c>
      <c r="C19" s="2" t="n">
        <v>6.5</v>
      </c>
      <c r="D19" s="2" t="n">
        <v>28</v>
      </c>
      <c r="E19" s="2">
        <f>C19*(1-D19/100)</f>
        <v/>
      </c>
      <c r="F19" s="2" t="inlineStr">
        <is>
          <t>Abuja DisCo (AEDC)</t>
        </is>
      </c>
      <c r="G19" s="2" t="n">
        <v>38.9</v>
      </c>
      <c r="H19" s="2" t="n">
        <v>3</v>
      </c>
      <c r="I19" s="2" t="inlineStr"/>
    </row>
    <row r="20">
      <c r="A20" s="2" t="inlineStr">
        <is>
          <t>Kebbi</t>
        </is>
      </c>
      <c r="B20" s="2" t="inlineStr">
        <is>
          <t>NW</t>
        </is>
      </c>
      <c r="C20" s="2" t="n">
        <v>5</v>
      </c>
      <c r="D20" s="2" t="n">
        <v>20</v>
      </c>
      <c r="E20" s="2">
        <f>C20*(1-D20/100)</f>
        <v/>
      </c>
      <c r="F20" s="2" t="inlineStr">
        <is>
          <t>Kaduna DisCo (KAEDC)</t>
        </is>
      </c>
      <c r="G20" s="2" t="n">
        <v>65.40000000000001</v>
      </c>
      <c r="H20" s="2" t="n">
        <v>1.5</v>
      </c>
      <c r="I20" s="2" t="inlineStr"/>
    </row>
    <row r="21">
      <c r="A21" s="2" t="inlineStr">
        <is>
          <t>Taraba</t>
        </is>
      </c>
      <c r="B21" s="2" t="inlineStr">
        <is>
          <t>NE</t>
        </is>
      </c>
      <c r="C21" s="2" t="n">
        <v>3.5</v>
      </c>
      <c r="D21" s="2" t="n">
        <v>18</v>
      </c>
      <c r="E21" s="2">
        <f>C21*(1-D21/100)</f>
        <v/>
      </c>
      <c r="F21" s="2" t="inlineStr">
        <is>
          <t>Yola DisCo (YEDC)</t>
        </is>
      </c>
      <c r="G21" s="2" t="n">
        <v>78.59999999999999</v>
      </c>
      <c r="H21" s="2" t="n">
        <v>1</v>
      </c>
      <c r="I21" s="2" t="inlineStr">
        <is>
          <t>Among worst served in Nigeria</t>
        </is>
      </c>
    </row>
    <row r="22">
      <c r="A22" s="7" t="inlineStr">
        <is>
          <t>NATIONAL ESTIMATE (interpolated)</t>
        </is>
      </c>
      <c r="C22" s="7" t="n">
        <v>220</v>
      </c>
      <c r="D22" s="7" t="n">
        <v>53</v>
      </c>
      <c r="E22" s="7" t="n">
        <v>86.59999999999999</v>
      </c>
    </row>
    <row r="24">
      <c r="A24" s="6" t="inlineStr">
        <is>
          <t>Sources: NPC 2024 population projections | NERC 2024 Annual Report | IEA Africa Electricity Access 2024 | World Bank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22" customWidth="1" min="4" max="4"/>
    <col width="22" customWidth="1" min="5" max="5"/>
    <col width="26" customWidth="1" min="6" max="6"/>
    <col width="24" customWidth="1" min="7" max="7"/>
    <col width="20" customWidth="1" min="8" max="8"/>
    <col width="20" customWidth="1" min="9" max="9"/>
    <col width="60" customWidth="1" min="10" max="10"/>
  </cols>
  <sheetData>
    <row r="1" ht="50" customHeight="1">
      <c r="A1" s="1" t="inlineStr">
        <is>
          <t>Year</t>
        </is>
      </c>
      <c r="B1" s="1" t="inlineStr">
        <is>
          <t>No. of Generators in Nigeria (mn)</t>
        </is>
      </c>
      <c r="C1" s="1" t="inlineStr">
        <is>
          <t>Grid Capacity (GW)</t>
        </is>
      </c>
      <c r="D1" s="1" t="inlineStr">
        <is>
          <t>Private Generator Capacity (GW)</t>
        </is>
      </c>
      <c r="E1" s="1" t="inlineStr">
        <is>
          <t>Generator/Grid Capacity Ratio</t>
        </is>
      </c>
      <c r="F1" s="1" t="inlineStr">
        <is>
          <t>Total Annual Generator Spend (USD bn)</t>
        </is>
      </c>
      <c r="G1" s="1" t="inlineStr">
        <is>
          <t>Generator Fuel Spend (USD bn)</t>
        </is>
      </c>
      <c r="H1" s="1" t="inlineStr">
        <is>
          <t>Diesel Price (NGN/litre)</t>
        </is>
      </c>
      <c r="I1" s="1" t="inlineStr">
        <is>
          <t>% Businesses Using Generators</t>
        </is>
      </c>
      <c r="J1" s="1" t="inlineStr">
        <is>
          <t>Notes</t>
        </is>
      </c>
    </row>
    <row r="2">
      <c r="A2" s="2" t="n">
        <v>2019</v>
      </c>
      <c r="B2" s="2" t="n">
        <v>18</v>
      </c>
      <c r="C2" s="2" t="n">
        <v>4.1</v>
      </c>
      <c r="D2" s="2" t="n">
        <v>35</v>
      </c>
      <c r="E2" s="8">
        <f>D2/C2</f>
        <v/>
      </c>
      <c r="F2" s="2" t="n">
        <v>14</v>
      </c>
      <c r="G2" s="2" t="n">
        <v>10</v>
      </c>
      <c r="H2" s="2" t="n">
        <v>220</v>
      </c>
      <c r="I2" s="2" t="n">
        <v>86</v>
      </c>
      <c r="J2" s="2" t="inlineStr">
        <is>
          <t>World Bank; Energy Commission Nigeria</t>
        </is>
      </c>
    </row>
    <row r="3">
      <c r="A3" s="2" t="n">
        <v>2020</v>
      </c>
      <c r="B3" s="2" t="n">
        <v>19</v>
      </c>
      <c r="C3" s="2" t="n">
        <v>4.1</v>
      </c>
      <c r="D3" s="2" t="n">
        <v>37</v>
      </c>
      <c r="E3" s="8">
        <f>D3/C3</f>
        <v/>
      </c>
      <c r="F3" s="2" t="n">
        <v>13.5</v>
      </c>
      <c r="G3" s="2" t="n">
        <v>10</v>
      </c>
      <c r="H3" s="2" t="n">
        <v>240</v>
      </c>
      <c r="I3" s="2" t="n">
        <v>86</v>
      </c>
      <c r="J3" s="2" t="inlineStr">
        <is>
          <t>CBN estimate; COVID suppressed demand</t>
        </is>
      </c>
    </row>
    <row r="4">
      <c r="A4" s="2" t="n">
        <v>2021</v>
      </c>
      <c r="B4" s="2" t="n">
        <v>20</v>
      </c>
      <c r="C4" s="2" t="n">
        <v>4.1</v>
      </c>
      <c r="D4" s="2" t="n">
        <v>38</v>
      </c>
      <c r="E4" s="8">
        <f>D4/C4</f>
        <v/>
      </c>
      <c r="F4" s="2" t="n">
        <v>14</v>
      </c>
      <c r="G4" s="2" t="n">
        <v>10</v>
      </c>
      <c r="H4" s="2" t="n">
        <v>270</v>
      </c>
      <c r="I4" s="2" t="n">
        <v>86</v>
      </c>
      <c r="J4" s="2" t="inlineStr">
        <is>
          <t>CBN 2021 ($14bn total); Christensen Inst.</t>
        </is>
      </c>
    </row>
    <row r="5">
      <c r="A5" s="2" t="n">
        <v>2022</v>
      </c>
      <c r="B5" s="2" t="n">
        <v>21</v>
      </c>
      <c r="C5" s="2" t="n">
        <v>3.9</v>
      </c>
      <c r="D5" s="2" t="n">
        <v>40</v>
      </c>
      <c r="E5" s="8">
        <f>D5/C5</f>
        <v/>
      </c>
      <c r="F5" s="2" t="n">
        <v>20</v>
      </c>
      <c r="G5" s="2" t="n">
        <v>14</v>
      </c>
      <c r="H5" s="2" t="n">
        <v>420</v>
      </c>
      <c r="I5" s="2" t="n">
        <v>86</v>
      </c>
      <c r="J5" s="2" t="inlineStr">
        <is>
          <t>Subsidy removal pressure; diesel price spike</t>
        </is>
      </c>
    </row>
    <row r="6">
      <c r="A6" s="2" t="n">
        <v>2023</v>
      </c>
      <c r="B6" s="2" t="n">
        <v>22</v>
      </c>
      <c r="C6" s="2" t="n">
        <v>4.2</v>
      </c>
      <c r="D6" s="2" t="n">
        <v>42</v>
      </c>
      <c r="E6" s="8">
        <f>D6/C6</f>
        <v/>
      </c>
      <c r="F6" s="2" t="n">
        <v>22</v>
      </c>
      <c r="G6" s="2" t="n">
        <v>16</v>
      </c>
      <c r="H6" s="2" t="n">
        <v>700</v>
      </c>
      <c r="I6" s="2" t="n">
        <v>86</v>
      </c>
      <c r="J6" s="2" t="inlineStr">
        <is>
          <t>Energy Commission NG; REA Market Report 2024; 3,000+ outage hrs/firm</t>
        </is>
      </c>
    </row>
    <row r="7">
      <c r="A7" s="2" t="n">
        <v>2024</v>
      </c>
      <c r="B7" s="2" t="n">
        <v>22</v>
      </c>
      <c r="C7" s="2" t="n">
        <v>4.2</v>
      </c>
      <c r="D7" s="2" t="n">
        <v>42</v>
      </c>
      <c r="E7" s="8">
        <f>D7/C7</f>
        <v/>
      </c>
      <c r="F7" s="2" t="n">
        <v>22</v>
      </c>
      <c r="G7" s="2" t="n">
        <v>16</v>
      </c>
      <c r="H7" s="2" t="n">
        <v>1100</v>
      </c>
      <c r="I7" s="2" t="n">
        <v>86</v>
      </c>
      <c r="J7" s="2" t="inlineStr">
        <is>
          <t>Standard Bank ATB 2024; Bloomberg Nov 2025</t>
        </is>
      </c>
    </row>
    <row r="10">
      <c r="A10" s="4" t="inlineStr">
        <is>
          <t>Key Facts — Nigeria's Generator Shadow Economy</t>
        </is>
      </c>
    </row>
    <row r="11">
      <c r="A11" s="5" t="inlineStr">
        <is>
          <t>Metric</t>
        </is>
      </c>
      <c r="B11" s="5" t="inlineStr">
        <is>
          <t>Value</t>
        </is>
      </c>
      <c r="C11" s="5" t="inlineStr">
        <is>
          <t>Context / Implication</t>
        </is>
      </c>
      <c r="D11" s="5" t="inlineStr">
        <is>
          <t>Source</t>
        </is>
      </c>
    </row>
    <row r="12">
      <c r="A12" s="2" t="inlineStr">
        <is>
          <t>Total generators in Nigeria</t>
        </is>
      </c>
      <c r="B12" s="2" t="inlineStr">
        <is>
          <t>~22 million</t>
        </is>
      </c>
      <c r="C12" s="2" t="inlineStr">
        <is>
          <t>Nigeria owns 46% of ALL generators sold in Sub-Saharan Africa</t>
        </is>
      </c>
      <c r="D12" s="2" t="inlineStr">
        <is>
          <t>REA Market Report 2024</t>
        </is>
      </c>
    </row>
    <row r="13">
      <c r="A13" s="2" t="inlineStr">
        <is>
          <t>Private generator capacity</t>
        </is>
      </c>
      <c r="B13" s="2" t="inlineStr">
        <is>
          <t>~42 GW</t>
        </is>
      </c>
      <c r="C13" s="2" t="inlineStr">
        <is>
          <t>8–10× the national grid's actual output — the biggest shadow grid on earth</t>
        </is>
      </c>
      <c r="D13" s="2" t="inlineStr">
        <is>
          <t>Christensen Inst. / REA 2024</t>
        </is>
      </c>
    </row>
    <row r="14">
      <c r="A14" s="2" t="inlineStr">
        <is>
          <t>Annual fuel spend on generators</t>
        </is>
      </c>
      <c r="B14" s="2" t="inlineStr">
        <is>
          <t>$22 billion</t>
        </is>
      </c>
      <c r="C14" s="2" t="inlineStr">
        <is>
          <t>Bigger than Nigeria's annual healthcare budget</t>
        </is>
      </c>
      <c r="D14" s="2" t="inlineStr">
        <is>
          <t>Energy Commission of Nigeria</t>
        </is>
      </c>
    </row>
    <row r="15">
      <c r="A15" s="2" t="inlineStr">
        <is>
          <t>Annual total generator economy</t>
        </is>
      </c>
      <c r="B15" s="2" t="inlineStr">
        <is>
          <t>$22–26 billion</t>
        </is>
      </c>
      <c r="C15" s="2" t="inlineStr">
        <is>
          <t>Not counted in GDP; represents pure economic deadweight loss</t>
        </is>
      </c>
      <c r="D15" s="2" t="inlineStr">
        <is>
          <t>Standard Bank / CBN</t>
        </is>
      </c>
    </row>
    <row r="16">
      <c r="A16" s="2" t="inlineStr">
        <is>
          <t>% businesses owning a generator</t>
        </is>
      </c>
      <c r="B16" s="2" t="inlineStr">
        <is>
          <t>86%</t>
        </is>
      </c>
      <c r="C16" s="2" t="inlineStr">
        <is>
          <t>Almost every Nigerian business has its own power plant</t>
        </is>
      </c>
      <c r="D16" s="2" t="inlineStr">
        <is>
          <t>World Bank Firm Survey 2017, consistent 2024</t>
        </is>
      </c>
    </row>
    <row r="17">
      <c r="A17" s="2" t="inlineStr">
        <is>
          <t>% of business electricity from genset</t>
        </is>
      </c>
      <c r="B17" s="2" t="inlineStr">
        <is>
          <t>48%</t>
        </is>
      </c>
      <c r="C17" s="2" t="inlineStr">
        <is>
          <t>Grid only supplies half of what businesses actually use</t>
        </is>
      </c>
      <c r="D17" s="2" t="inlineStr">
        <is>
          <t>World Bank Firm Survey</t>
        </is>
      </c>
    </row>
    <row r="18">
      <c r="A18" s="2" t="inlineStr">
        <is>
          <t>Business opex spent on power</t>
        </is>
      </c>
      <c r="B18" s="2" t="inlineStr">
        <is>
          <t>Up to 40%</t>
        </is>
      </c>
      <c r="C18" s="2" t="inlineStr">
        <is>
          <t>CBN figure; power is the single largest operating cost for many SMEs</t>
        </is>
      </c>
      <c r="D18" s="2" t="inlineStr">
        <is>
          <t>CBN / Mordor Intelligence 2025</t>
        </is>
      </c>
    </row>
    <row r="19">
      <c r="A19" s="2" t="inlineStr">
        <is>
          <t>Small gensets (0–4 kVA) capacity</t>
        </is>
      </c>
      <c r="B19" s="2" t="inlineStr">
        <is>
          <t>~42 GW</t>
        </is>
      </c>
      <c r="C19" s="2" t="inlineStr">
        <is>
          <t>Household/petty-trader gensets alone outpower the national grid</t>
        </is>
      </c>
      <c r="D19" s="2" t="inlineStr">
        <is>
          <t>ESMAP / REA 2024</t>
        </is>
      </c>
    </row>
    <row r="20">
      <c r="A20" s="2" t="inlineStr">
        <is>
          <t>CO₂ from private generators</t>
        </is>
      </c>
      <c r="B20" s="2" t="inlineStr">
        <is>
          <t>Est. 30 MT/yr</t>
        </is>
      </c>
      <c r="C20" s="2" t="inlineStr">
        <is>
          <t>Nigeria's self-inflicted climate cost; no clean energy benefit received</t>
        </is>
      </c>
      <c r="D20" s="2" t="inlineStr">
        <is>
          <t>NESREA / estimates</t>
        </is>
      </c>
    </row>
    <row r="23">
      <c r="A23" s="6" t="inlineStr">
        <is>
          <t>Sources: Energy Commission of Nigeria | CBN | REA Market Report 2024 | Christensen Institute 2023 | Standard Bank ATB 2024 | World Bank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75" customWidth="1" min="3" max="3"/>
    <col width="16" customWidth="1" min="4" max="4"/>
    <col width="40" customWidth="1" min="5" max="5"/>
  </cols>
  <sheetData>
    <row r="1">
      <c r="A1" s="9" t="inlineStr">
        <is>
          <t>Supplementary Dataset — Data Dictionary</t>
        </is>
      </c>
    </row>
    <row r="2">
      <c r="A2" s="6" t="inlineStr">
        <is>
          <t>To be used together with: Nigeria_Power_Grid_Dataset.xlsx</t>
        </is>
      </c>
    </row>
    <row r="4">
      <c r="A4" s="1" t="inlineStr">
        <is>
          <t>Sheet</t>
        </is>
      </c>
      <c r="B4" s="1" t="inlineStr">
        <is>
          <t>Column / Field</t>
        </is>
      </c>
      <c r="C4" s="1" t="inlineStr">
        <is>
          <t>Definition</t>
        </is>
      </c>
      <c r="D4" s="1" t="inlineStr">
        <is>
          <t>Unit</t>
        </is>
      </c>
      <c r="E4" s="1" t="inlineStr">
        <is>
          <t>Source</t>
        </is>
      </c>
    </row>
    <row r="5">
      <c r="A5" s="2" t="inlineStr">
        <is>
          <t>Economic_Cost_Outages</t>
        </is>
      </c>
      <c r="B5" s="2" t="inlineStr">
        <is>
          <t>Economic Loss — Grid Outages</t>
        </is>
      </c>
      <c r="C5" s="2" t="inlineStr">
        <is>
          <t>Annual GDP lost to power unreliability — includes lost production, spoilage, idle capacity</t>
        </is>
      </c>
      <c r="D5" s="2" t="inlineStr">
        <is>
          <t>USD billion</t>
        </is>
      </c>
      <c r="E5" s="2" t="inlineStr">
        <is>
          <t>World Bank / Standard Bank ATB 2024</t>
        </is>
      </c>
    </row>
    <row r="6">
      <c r="A6" s="2" t="inlineStr">
        <is>
          <t>Economic_Cost_Outages</t>
        </is>
      </c>
      <c r="B6" s="2" t="inlineStr">
        <is>
          <t>Generator Fuel Spend</t>
        </is>
      </c>
      <c r="C6" s="2" t="inlineStr">
        <is>
          <t>Annual expenditure on diesel/petrol by households and businesses to run private generators</t>
        </is>
      </c>
      <c r="D6" s="2" t="inlineStr">
        <is>
          <t>USD billion</t>
        </is>
      </c>
      <c r="E6" s="2" t="inlineStr">
        <is>
          <t>Energy Commission of Nigeria / CBN</t>
        </is>
      </c>
    </row>
    <row r="7">
      <c r="A7" s="2" t="inlineStr">
        <is>
          <t>Economic_Cost_Outages</t>
        </is>
      </c>
      <c r="B7" s="2" t="inlineStr">
        <is>
          <t>Total Energy Crisis Cost</t>
        </is>
      </c>
      <c r="C7" s="2" t="inlineStr">
        <is>
          <t>Sum of outage losses + generator fuel spend. True economic burden of the power crisis</t>
        </is>
      </c>
      <c r="D7" s="2" t="inlineStr">
        <is>
          <t>USD billion</t>
        </is>
      </c>
      <c r="E7" s="2" t="inlineStr">
        <is>
          <t>Calculated</t>
        </is>
      </c>
    </row>
    <row r="8">
      <c r="A8" s="2" t="inlineStr">
        <is>
          <t>Economic_Cost_Outages</t>
        </is>
      </c>
      <c r="B8" s="2" t="inlineStr">
        <is>
          <t>Avg Annual Outage Hours per Firm</t>
        </is>
      </c>
      <c r="C8" s="2" t="inlineStr">
        <is>
          <t>Average hours per year a Nigerian firm experiences power cuts. 3,000 hrs = 125 full days/yr</t>
        </is>
      </c>
      <c r="D8" s="2" t="inlineStr">
        <is>
          <t>Hours</t>
        </is>
      </c>
      <c r="E8" s="2" t="inlineStr">
        <is>
          <t>World Bank Firm Survey / MEA Generator Market Report</t>
        </is>
      </c>
    </row>
    <row r="9">
      <c r="A9" s="2" t="inlineStr">
        <is>
          <t>Africa_Regional_Comparison</t>
        </is>
      </c>
      <c r="B9" s="2" t="inlineStr">
        <is>
          <t>Per Capita Consumption (kWh/yr)</t>
        </is>
      </c>
      <c r="C9" s="2" t="inlineStr">
        <is>
          <t>Annual kWh consumed per person. Nigeria at 169 kWh is 4× below lower-middle-income average</t>
        </is>
      </c>
      <c r="D9" s="2" t="inlineStr">
        <is>
          <t>kWh</t>
        </is>
      </c>
      <c r="E9" s="2" t="inlineStr">
        <is>
          <t>IEA / World Bank / Verivafrica 2024</t>
        </is>
      </c>
    </row>
    <row r="10">
      <c r="A10" s="2" t="inlineStr">
        <is>
          <t>Africa_Regional_Comparison</t>
        </is>
      </c>
      <c r="B10" s="2" t="inlineStr">
        <is>
          <t>Grid Reliability (outage hrs/mo)</t>
        </is>
      </c>
      <c r="C10" s="2" t="inlineStr">
        <is>
          <t>Average monthly hours without power. Lower = better. International target: &lt;1 hr/month</t>
        </is>
      </c>
      <c r="D10" s="2" t="inlineStr">
        <is>
          <t>Hours</t>
        </is>
      </c>
      <c r="E10" s="2" t="inlineStr">
        <is>
          <t>IEA / national utility reports</t>
        </is>
      </c>
    </row>
    <row r="11">
      <c r="A11" s="2" t="inlineStr">
        <is>
          <t>Population_Access_Data</t>
        </is>
      </c>
      <c r="B11" s="2" t="inlineStr">
        <is>
          <t>Est. Access Rate (%)</t>
        </is>
      </c>
      <c r="C11" s="2" t="inlineStr">
        <is>
          <t>% of state population with any grid connection. Does NOT reflect quality or hours of supply</t>
        </is>
      </c>
      <c r="D11" s="2" t="inlineStr">
        <is>
          <t>Percent</t>
        </is>
      </c>
      <c r="E11" s="2" t="inlineStr">
        <is>
          <t>NPC / NERC / World Bank interpolations</t>
        </is>
      </c>
    </row>
    <row r="12">
      <c r="A12" s="2" t="inlineStr">
        <is>
          <t>Population_Access_Data</t>
        </is>
      </c>
      <c r="B12" s="2" t="inlineStr">
        <is>
          <t>People Without Power (mn)</t>
        </is>
      </c>
      <c r="C12" s="2" t="inlineStr">
        <is>
          <t>Estimated millions with no grid access. Formula: Population × (1 - Access Rate)</t>
        </is>
      </c>
      <c r="D12" s="2" t="inlineStr">
        <is>
          <t>Millions</t>
        </is>
      </c>
      <c r="E12" s="2" t="inlineStr">
        <is>
          <t>Calculated from NPC + NERC + IEA</t>
        </is>
      </c>
    </row>
    <row r="13">
      <c r="A13" s="2" t="inlineStr">
        <is>
          <t>Generator_Shadow_Economy</t>
        </is>
      </c>
      <c r="B13" s="2" t="inlineStr">
        <is>
          <t>Private Generator Capacity (GW)</t>
        </is>
      </c>
      <c r="C13" s="2" t="inlineStr">
        <is>
          <t>Total GW of self-generation capacity across Nigeria. 42 GW = 8–10× the national grid output</t>
        </is>
      </c>
      <c r="D13" s="2" t="inlineStr">
        <is>
          <t>Gigawatts</t>
        </is>
      </c>
      <c r="E13" s="2" t="inlineStr">
        <is>
          <t>REA / Christensen Institute / ESMAP</t>
        </is>
      </c>
    </row>
    <row r="14">
      <c r="A14" s="2" t="inlineStr">
        <is>
          <t>Generator_Shadow_Economy</t>
        </is>
      </c>
      <c r="B14" s="2" t="inlineStr">
        <is>
          <t>Generator/Grid Capacity Ratio</t>
        </is>
      </c>
      <c r="C14" s="2" t="inlineStr">
        <is>
          <t>Private generator GW ÷ actual grid output GW. Ratio &gt;1 means shadow grid &gt; national grid</t>
        </is>
      </c>
      <c r="D14" s="2" t="inlineStr">
        <is>
          <t>Ratio (x)</t>
        </is>
      </c>
      <c r="E14" s="2" t="inlineStr">
        <is>
          <t>Calculated</t>
        </is>
      </c>
    </row>
    <row r="15">
      <c r="A15" s="2" t="inlineStr">
        <is>
          <t>Generator_Shadow_Economy</t>
        </is>
      </c>
      <c r="B15" s="2" t="inlineStr">
        <is>
          <t>Annual Total Generator Spend</t>
        </is>
      </c>
      <c r="C15" s="2" t="inlineStr">
        <is>
          <t>Total annual spending on genset purchase, maintenance, and fuel — a pure deadweight loss</t>
        </is>
      </c>
      <c r="D15" s="2" t="inlineStr">
        <is>
          <t>USD billion</t>
        </is>
      </c>
      <c r="E15" s="2" t="inlineStr">
        <is>
          <t>Standard Bank / CBN / Energy Commission</t>
        </is>
      </c>
    </row>
    <row r="19">
      <c r="A19" s="6" t="inlineStr">
        <is>
          <t>All monetary figures in constant USD unless otherwise stated. Population figures from NPC 2024 projections.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2026-05-02T05:04:56Z</dcterms:created>
  <dcterms:modified xmlns:dcterms="http://purl.org/dc/terms/" xmlns:xsi="http://www.w3.org/2001/XMLSchema-instance" xsi:type="dcterms:W3CDTF">2026-05-02T05:04:56Z</dcterms:modified>
</cp:coreProperties>
</file>